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Documentation/ecobliss-docs/"/>
    </mc:Choice>
  </mc:AlternateContent>
  <xr:revisionPtr revIDLastSave="0" documentId="13_ncr:1_{A817B982-E94C-0144-B9FC-7E04CE45FE99}" xr6:coauthVersionLast="47" xr6:coauthVersionMax="47" xr10:uidLastSave="{00000000-0000-0000-0000-000000000000}"/>
  <bookViews>
    <workbookView xWindow="-33760" yWindow="-9320" windowWidth="29400" windowHeight="18400" xr2:uid="{AA4B684E-F9E2-7F41-996C-BD2AB92E0EF7}"/>
  </bookViews>
  <sheets>
    <sheet name="Net ERs" sheetId="1" r:id="rId1"/>
    <sheet name="Baseline Model Error" sheetId="2" r:id="rId2"/>
    <sheet name="Project Model Error" sheetId="3" r:id="rId3"/>
    <sheet name="Sampling &amp; Combined Err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9" i="1" l="1"/>
  <c r="R34" i="1"/>
  <c r="S34" i="1"/>
  <c r="V34" i="1"/>
  <c r="R35" i="1"/>
  <c r="V35" i="1" s="1"/>
  <c r="S35" i="1"/>
  <c r="R36" i="1"/>
  <c r="S36" i="1"/>
  <c r="V36" i="1"/>
  <c r="R37" i="1"/>
  <c r="S37" i="1"/>
  <c r="V37" i="1"/>
  <c r="R38" i="1"/>
  <c r="S38" i="1"/>
  <c r="V38" i="1"/>
  <c r="R39" i="1"/>
  <c r="V39" i="1" s="1"/>
  <c r="S39" i="1"/>
  <c r="R40" i="1"/>
  <c r="S40" i="1"/>
  <c r="V40" i="1"/>
  <c r="R41" i="1"/>
  <c r="S41" i="1"/>
  <c r="V41" i="1"/>
  <c r="R42" i="1"/>
  <c r="S42" i="1"/>
  <c r="V42" i="1"/>
  <c r="R43" i="1"/>
  <c r="V43" i="1" s="1"/>
  <c r="S43" i="1"/>
  <c r="R44" i="1"/>
  <c r="S44" i="1"/>
  <c r="V44" i="1"/>
  <c r="R45" i="1"/>
  <c r="S45" i="1"/>
  <c r="V45" i="1"/>
  <c r="R46" i="1"/>
  <c r="S46" i="1"/>
  <c r="V46" i="1"/>
  <c r="R47" i="1"/>
  <c r="V47" i="1" s="1"/>
  <c r="S47" i="1"/>
  <c r="R8" i="1"/>
  <c r="V8" i="1" s="1"/>
  <c r="S8" i="1"/>
  <c r="R9" i="1"/>
  <c r="V9" i="1" s="1"/>
  <c r="S9" i="1"/>
  <c r="R10" i="1"/>
  <c r="S10" i="1"/>
  <c r="V10" i="1"/>
  <c r="R11" i="1"/>
  <c r="S11" i="1"/>
  <c r="V11" i="1"/>
  <c r="R12" i="1"/>
  <c r="V12" i="1" s="1"/>
  <c r="S12" i="1"/>
  <c r="R13" i="1"/>
  <c r="S13" i="1"/>
  <c r="V13" i="1"/>
  <c r="R14" i="1"/>
  <c r="S14" i="1"/>
  <c r="V14" i="1"/>
  <c r="R15" i="1"/>
  <c r="S15" i="1"/>
  <c r="V15" i="1"/>
  <c r="R16" i="1"/>
  <c r="V16" i="1" s="1"/>
  <c r="S16" i="1"/>
  <c r="R17" i="1"/>
  <c r="S17" i="1"/>
  <c r="V17" i="1"/>
  <c r="R18" i="1"/>
  <c r="S18" i="1"/>
  <c r="V18" i="1"/>
  <c r="R19" i="1"/>
  <c r="S19" i="1"/>
  <c r="V19" i="1"/>
  <c r="R20" i="1"/>
  <c r="V20" i="1" s="1"/>
  <c r="S20" i="1"/>
  <c r="R21" i="1"/>
  <c r="S21" i="1"/>
  <c r="V21" i="1"/>
  <c r="R22" i="1"/>
  <c r="S22" i="1"/>
  <c r="V22" i="1"/>
  <c r="R23" i="1"/>
  <c r="S23" i="1"/>
  <c r="V23" i="1"/>
  <c r="R24" i="1"/>
  <c r="V24" i="1" s="1"/>
  <c r="S24" i="1"/>
  <c r="R25" i="1"/>
  <c r="S25" i="1"/>
  <c r="V25" i="1"/>
  <c r="R26" i="1"/>
  <c r="S26" i="1"/>
  <c r="V26" i="1"/>
  <c r="R27" i="1"/>
  <c r="S27" i="1"/>
  <c r="V27" i="1"/>
  <c r="R28" i="1"/>
  <c r="V28" i="1" s="1"/>
  <c r="S28" i="1"/>
  <c r="R29" i="1"/>
  <c r="S29" i="1"/>
  <c r="V29" i="1"/>
  <c r="R30" i="1"/>
  <c r="S30" i="1"/>
  <c r="V30" i="1"/>
  <c r="R31" i="1"/>
  <c r="S31" i="1"/>
  <c r="V31" i="1"/>
  <c r="R32" i="1"/>
  <c r="V32" i="1" s="1"/>
  <c r="S32" i="1"/>
  <c r="R33" i="1"/>
  <c r="S33" i="1"/>
  <c r="V33" i="1"/>
  <c r="V7" i="1"/>
  <c r="S7" i="1"/>
  <c r="R7" i="1"/>
  <c r="D19" i="1"/>
  <c r="F19" i="1" s="1"/>
  <c r="W19" i="1" s="1"/>
  <c r="U19" i="1" s="1"/>
  <c r="X19" i="1" s="1"/>
  <c r="G19" i="1"/>
  <c r="O19" i="1"/>
  <c r="D20" i="1"/>
  <c r="F20" i="1" s="1"/>
  <c r="W20" i="1" s="1"/>
  <c r="U20" i="1" s="1"/>
  <c r="G20" i="1"/>
  <c r="O20" i="1"/>
  <c r="D21" i="1"/>
  <c r="F21" i="1"/>
  <c r="W21" i="1" s="1"/>
  <c r="G21" i="1"/>
  <c r="O21" i="1"/>
  <c r="D22" i="1"/>
  <c r="F22" i="1" s="1"/>
  <c r="W22" i="1" s="1"/>
  <c r="U22" i="1" s="1"/>
  <c r="X22" i="1" s="1"/>
  <c r="G22" i="1"/>
  <c r="O22" i="1"/>
  <c r="D23" i="1"/>
  <c r="F23" i="1" s="1"/>
  <c r="W23" i="1" s="1"/>
  <c r="U23" i="1" s="1"/>
  <c r="X23" i="1" s="1"/>
  <c r="G23" i="1"/>
  <c r="O23" i="1"/>
  <c r="D24" i="1"/>
  <c r="F24" i="1" s="1"/>
  <c r="W24" i="1" s="1"/>
  <c r="U24" i="1" s="1"/>
  <c r="G24" i="1"/>
  <c r="O24" i="1"/>
  <c r="D25" i="1"/>
  <c r="F25" i="1"/>
  <c r="W25" i="1" s="1"/>
  <c r="G25" i="1"/>
  <c r="O25" i="1"/>
  <c r="D26" i="1"/>
  <c r="F26" i="1" s="1"/>
  <c r="W26" i="1" s="1"/>
  <c r="U26" i="1" s="1"/>
  <c r="X26" i="1" s="1"/>
  <c r="G26" i="1"/>
  <c r="O26" i="1"/>
  <c r="D27" i="1"/>
  <c r="F27" i="1"/>
  <c r="W27" i="1" s="1"/>
  <c r="U27" i="1" s="1"/>
  <c r="X27" i="1" s="1"/>
  <c r="G27" i="1"/>
  <c r="O27" i="1"/>
  <c r="D28" i="1"/>
  <c r="F28" i="1" s="1"/>
  <c r="W28" i="1" s="1"/>
  <c r="U28" i="1" s="1"/>
  <c r="G28" i="1"/>
  <c r="O28" i="1"/>
  <c r="D29" i="1"/>
  <c r="F29" i="1"/>
  <c r="W29" i="1" s="1"/>
  <c r="G29" i="1"/>
  <c r="O29" i="1"/>
  <c r="D30" i="1"/>
  <c r="F30" i="1" s="1"/>
  <c r="W30" i="1" s="1"/>
  <c r="U30" i="1" s="1"/>
  <c r="X30" i="1" s="1"/>
  <c r="G30" i="1"/>
  <c r="O30" i="1"/>
  <c r="D31" i="1"/>
  <c r="F31" i="1" s="1"/>
  <c r="W31" i="1" s="1"/>
  <c r="U31" i="1" s="1"/>
  <c r="X31" i="1" s="1"/>
  <c r="G31" i="1"/>
  <c r="O31" i="1"/>
  <c r="D32" i="1"/>
  <c r="F32" i="1" s="1"/>
  <c r="W32" i="1" s="1"/>
  <c r="U32" i="1" s="1"/>
  <c r="G32" i="1"/>
  <c r="O32" i="1"/>
  <c r="D33" i="1"/>
  <c r="F33" i="1" s="1"/>
  <c r="W33" i="1" s="1"/>
  <c r="G33" i="1"/>
  <c r="O33" i="1"/>
  <c r="D34" i="1"/>
  <c r="F34" i="1" s="1"/>
  <c r="W34" i="1" s="1"/>
  <c r="U34" i="1" s="1"/>
  <c r="X34" i="1" s="1"/>
  <c r="G34" i="1"/>
  <c r="O34" i="1"/>
  <c r="D35" i="1"/>
  <c r="F35" i="1"/>
  <c r="W35" i="1" s="1"/>
  <c r="G35" i="1"/>
  <c r="O35" i="1"/>
  <c r="D36" i="1"/>
  <c r="F36" i="1" s="1"/>
  <c r="W36" i="1" s="1"/>
  <c r="G36" i="1"/>
  <c r="O36" i="1"/>
  <c r="D37" i="1"/>
  <c r="F37" i="1"/>
  <c r="W37" i="1" s="1"/>
  <c r="U37" i="1" s="1"/>
  <c r="X37" i="1" s="1"/>
  <c r="G37" i="1"/>
  <c r="O37" i="1"/>
  <c r="D38" i="1"/>
  <c r="F38" i="1" s="1"/>
  <c r="W38" i="1" s="1"/>
  <c r="G38" i="1"/>
  <c r="O38" i="1"/>
  <c r="D39" i="1"/>
  <c r="F39" i="1"/>
  <c r="W39" i="1" s="1"/>
  <c r="G39" i="1"/>
  <c r="O39" i="1"/>
  <c r="D40" i="1"/>
  <c r="F40" i="1" s="1"/>
  <c r="W40" i="1" s="1"/>
  <c r="G40" i="1"/>
  <c r="O40" i="1"/>
  <c r="D41" i="1"/>
  <c r="F41" i="1"/>
  <c r="W41" i="1" s="1"/>
  <c r="U41" i="1" s="1"/>
  <c r="X41" i="1" s="1"/>
  <c r="G41" i="1"/>
  <c r="O41" i="1"/>
  <c r="D42" i="1"/>
  <c r="F42" i="1" s="1"/>
  <c r="W42" i="1" s="1"/>
  <c r="U42" i="1" s="1"/>
  <c r="X42" i="1" s="1"/>
  <c r="G42" i="1"/>
  <c r="O42" i="1"/>
  <c r="D43" i="1"/>
  <c r="F43" i="1"/>
  <c r="W43" i="1" s="1"/>
  <c r="G43" i="1"/>
  <c r="O43" i="1"/>
  <c r="D44" i="1"/>
  <c r="F44" i="1" s="1"/>
  <c r="W44" i="1" s="1"/>
  <c r="G44" i="1"/>
  <c r="O44" i="1"/>
  <c r="D45" i="1"/>
  <c r="F45" i="1"/>
  <c r="W45" i="1" s="1"/>
  <c r="U45" i="1" s="1"/>
  <c r="X45" i="1" s="1"/>
  <c r="G45" i="1"/>
  <c r="O45" i="1"/>
  <c r="D46" i="1"/>
  <c r="F46" i="1" s="1"/>
  <c r="W46" i="1" s="1"/>
  <c r="U46" i="1" s="1"/>
  <c r="X46" i="1" s="1"/>
  <c r="G46" i="1"/>
  <c r="O46" i="1"/>
  <c r="D47" i="1"/>
  <c r="F47" i="1" s="1"/>
  <c r="W47" i="1" s="1"/>
  <c r="G47" i="1"/>
  <c r="O47" i="1"/>
  <c r="U44" i="1" l="1"/>
  <c r="X44" i="1" s="1"/>
  <c r="U40" i="1"/>
  <c r="X40" i="1" s="1"/>
  <c r="U36" i="1"/>
  <c r="X36" i="1" s="1"/>
  <c r="U35" i="1"/>
  <c r="X35" i="1"/>
  <c r="U43" i="1"/>
  <c r="X43" i="1" s="1"/>
  <c r="U39" i="1"/>
  <c r="X39" i="1"/>
  <c r="U47" i="1"/>
  <c r="X47" i="1" s="1"/>
  <c r="U38" i="1"/>
  <c r="X38" i="1" s="1"/>
  <c r="X20" i="1"/>
  <c r="X24" i="1"/>
  <c r="X28" i="1"/>
  <c r="X21" i="1"/>
  <c r="X32" i="1"/>
  <c r="U33" i="1"/>
  <c r="X33" i="1" s="1"/>
  <c r="U29" i="1"/>
  <c r="X29" i="1" s="1"/>
  <c r="U25" i="1"/>
  <c r="X25" i="1" s="1"/>
  <c r="U21" i="1"/>
  <c r="O7" i="1"/>
  <c r="B2" i="1" l="1"/>
  <c r="O18" i="1"/>
  <c r="O17" i="1"/>
  <c r="O16" i="1"/>
  <c r="O15" i="1"/>
  <c r="O14" i="1"/>
  <c r="O13" i="1"/>
  <c r="O12" i="1"/>
  <c r="O11" i="1"/>
  <c r="O10" i="1"/>
  <c r="O9" i="1"/>
  <c r="O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E14" i="4"/>
  <c r="E13" i="4"/>
  <c r="H9" i="4"/>
  <c r="B3" i="4"/>
  <c r="H3" i="4" s="1"/>
  <c r="E12" i="4" s="1"/>
  <c r="B9" i="4"/>
  <c r="C9" i="4"/>
  <c r="G3" i="4"/>
  <c r="G4" i="4"/>
  <c r="H4" i="4" s="1"/>
  <c r="B4" i="4"/>
  <c r="D4" i="4"/>
  <c r="D3" i="4"/>
  <c r="D6" i="1" l="1"/>
  <c r="F6" i="1" s="1"/>
  <c r="F37" i="3"/>
  <c r="E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A42" i="3" s="1" a="1"/>
  <c r="A42" i="3" s="1"/>
  <c r="AB19" i="3"/>
  <c r="X19" i="3"/>
  <c r="T19" i="3" s="1"/>
  <c r="W19" i="3"/>
  <c r="P19" i="3" s="1"/>
  <c r="AJ19" i="3" s="1"/>
  <c r="O19" i="3"/>
  <c r="AB18" i="3"/>
  <c r="T18" i="3"/>
  <c r="O18" i="3"/>
  <c r="P18" i="3" s="1"/>
  <c r="AJ18" i="3" s="1"/>
  <c r="T17" i="3"/>
  <c r="AG17" i="3" s="1"/>
  <c r="AH17" i="3" s="1"/>
  <c r="P17" i="3"/>
  <c r="AJ17" i="3" s="1"/>
  <c r="T16" i="3"/>
  <c r="AG16" i="3" s="1"/>
  <c r="AH16" i="3" s="1"/>
  <c r="S16" i="3"/>
  <c r="P16" i="3"/>
  <c r="AJ16" i="3" s="1"/>
  <c r="O16" i="3"/>
  <c r="T15" i="3"/>
  <c r="R15" i="3"/>
  <c r="O15" i="3"/>
  <c r="P15" i="3" s="1"/>
  <c r="T14" i="3"/>
  <c r="AG14" i="3" s="1"/>
  <c r="AH14" i="3" s="1"/>
  <c r="P14" i="3"/>
  <c r="AJ14" i="3" s="1"/>
  <c r="T13" i="3"/>
  <c r="AG13" i="3" s="1"/>
  <c r="AH13" i="3" s="1"/>
  <c r="P13" i="3"/>
  <c r="AJ13" i="3" s="1"/>
  <c r="AJ12" i="3"/>
  <c r="AL12" i="3" s="1"/>
  <c r="AG12" i="3"/>
  <c r="AH12" i="3" s="1"/>
  <c r="AG11" i="3"/>
  <c r="AH11" i="3" s="1"/>
  <c r="T11" i="3"/>
  <c r="P11" i="3"/>
  <c r="AJ11" i="3" s="1"/>
  <c r="T10" i="3"/>
  <c r="AG10" i="3" s="1"/>
  <c r="AH10" i="3" s="1"/>
  <c r="S10" i="3"/>
  <c r="P10" i="3"/>
  <c r="AJ10" i="3" s="1"/>
  <c r="O10" i="3"/>
  <c r="AJ9" i="3"/>
  <c r="AL9" i="3" s="1"/>
  <c r="AG9" i="3"/>
  <c r="AH9" i="3" s="1"/>
  <c r="T9" i="3"/>
  <c r="P9" i="3"/>
  <c r="S8" i="3"/>
  <c r="T8" i="3" s="1"/>
  <c r="AG8" i="3" s="1"/>
  <c r="AH8" i="3" s="1"/>
  <c r="O8" i="3"/>
  <c r="P8" i="3" s="1"/>
  <c r="AJ8" i="3" s="1"/>
  <c r="AL7" i="3"/>
  <c r="AJ7" i="3"/>
  <c r="AK7" i="3" s="1"/>
  <c r="AG7" i="3"/>
  <c r="AH7" i="3" s="1"/>
  <c r="S6" i="3"/>
  <c r="T6" i="3" s="1"/>
  <c r="AG6" i="3" s="1"/>
  <c r="AH6" i="3" s="1"/>
  <c r="P6" i="3"/>
  <c r="AJ6" i="3" s="1"/>
  <c r="O6" i="3"/>
  <c r="AG5" i="3"/>
  <c r="AH5" i="3" s="1"/>
  <c r="T5" i="3"/>
  <c r="P5" i="3"/>
  <c r="AJ5" i="3" s="1"/>
  <c r="AJ4" i="3"/>
  <c r="T4" i="3"/>
  <c r="AG4" i="3" s="1"/>
  <c r="AH4" i="3" s="1"/>
  <c r="P4" i="3"/>
  <c r="E31" i="2"/>
  <c r="F31" i="2" s="1"/>
  <c r="F30" i="2"/>
  <c r="E30" i="2"/>
  <c r="F29" i="2"/>
  <c r="E29" i="2"/>
  <c r="E28" i="2"/>
  <c r="F28" i="2" s="1"/>
  <c r="E27" i="2"/>
  <c r="F27" i="2" s="1"/>
  <c r="F26" i="2"/>
  <c r="E26" i="2"/>
  <c r="F25" i="2"/>
  <c r="E25" i="2"/>
  <c r="E24" i="2"/>
  <c r="F24" i="2" s="1"/>
  <c r="E23" i="2"/>
  <c r="F23" i="2" s="1"/>
  <c r="F22" i="2"/>
  <c r="E22" i="2"/>
  <c r="F21" i="2"/>
  <c r="E21" i="2"/>
  <c r="T16" i="2"/>
  <c r="S16" i="2"/>
  <c r="O16" i="2"/>
  <c r="P16" i="2" s="1"/>
  <c r="T15" i="2"/>
  <c r="AG15" i="2" s="1"/>
  <c r="AH15" i="2" s="1"/>
  <c r="P15" i="2"/>
  <c r="AJ15" i="2" s="1"/>
  <c r="T14" i="2"/>
  <c r="AG14" i="2" s="1"/>
  <c r="AH14" i="2" s="1"/>
  <c r="P14" i="2"/>
  <c r="AJ14" i="2" s="1"/>
  <c r="AJ13" i="2"/>
  <c r="AL13" i="2" s="1"/>
  <c r="AG13" i="2"/>
  <c r="AH13" i="2" s="1"/>
  <c r="T13" i="2"/>
  <c r="P13" i="2"/>
  <c r="AJ12" i="2"/>
  <c r="AL12" i="2" s="1"/>
  <c r="AH12" i="2"/>
  <c r="AG12" i="2"/>
  <c r="T12" i="2"/>
  <c r="P12" i="2"/>
  <c r="AJ11" i="2"/>
  <c r="AK11" i="2" s="1"/>
  <c r="AH11" i="2"/>
  <c r="AG11" i="2"/>
  <c r="AJ10" i="2"/>
  <c r="S10" i="2"/>
  <c r="T10" i="2" s="1"/>
  <c r="AG10" i="2" s="1"/>
  <c r="AH10" i="2" s="1"/>
  <c r="P10" i="2"/>
  <c r="O10" i="2"/>
  <c r="T9" i="2"/>
  <c r="P9" i="2"/>
  <c r="AJ9" i="2" s="1"/>
  <c r="S8" i="2"/>
  <c r="T8" i="2" s="1"/>
  <c r="O8" i="2"/>
  <c r="P8" i="2" s="1"/>
  <c r="AJ8" i="2" s="1"/>
  <c r="AJ7" i="2"/>
  <c r="T7" i="2"/>
  <c r="AG7" i="2" s="1"/>
  <c r="AH7" i="2" s="1"/>
  <c r="P7" i="2"/>
  <c r="AJ6" i="2"/>
  <c r="AL6" i="2" s="1"/>
  <c r="AG6" i="2"/>
  <c r="AH6" i="2" s="1"/>
  <c r="T6" i="2"/>
  <c r="P6" i="2"/>
  <c r="AJ5" i="2"/>
  <c r="AK5" i="2" s="1"/>
  <c r="T5" i="2"/>
  <c r="AG5" i="2" s="1"/>
  <c r="AH5" i="2" s="1"/>
  <c r="P5" i="2"/>
  <c r="T4" i="2"/>
  <c r="S4" i="2"/>
  <c r="O4" i="2"/>
  <c r="P4" i="2" s="1"/>
  <c r="D7" i="1"/>
  <c r="F7" i="1" s="1"/>
  <c r="W7" i="1" s="1"/>
  <c r="D8" i="1"/>
  <c r="F8" i="1" s="1"/>
  <c r="W8" i="1" s="1"/>
  <c r="D9" i="1"/>
  <c r="F9" i="1" s="1"/>
  <c r="W9" i="1" s="1"/>
  <c r="D10" i="1"/>
  <c r="F10" i="1" s="1"/>
  <c r="W10" i="1" s="1"/>
  <c r="U10" i="1" s="1"/>
  <c r="X10" i="1" s="1"/>
  <c r="D11" i="1"/>
  <c r="F11" i="1" s="1"/>
  <c r="W11" i="1" s="1"/>
  <c r="U11" i="1" s="1"/>
  <c r="X11" i="1" s="1"/>
  <c r="D12" i="1"/>
  <c r="F12" i="1" s="1"/>
  <c r="W12" i="1" s="1"/>
  <c r="U12" i="1" s="1"/>
  <c r="X12" i="1" s="1"/>
  <c r="D13" i="1"/>
  <c r="F13" i="1" s="1"/>
  <c r="W13" i="1" s="1"/>
  <c r="U13" i="1" s="1"/>
  <c r="X13" i="1" s="1"/>
  <c r="D14" i="1"/>
  <c r="F14" i="1" s="1"/>
  <c r="W14" i="1" s="1"/>
  <c r="U14" i="1" s="1"/>
  <c r="X14" i="1" s="1"/>
  <c r="D15" i="1"/>
  <c r="F15" i="1" s="1"/>
  <c r="W15" i="1" s="1"/>
  <c r="U15" i="1" s="1"/>
  <c r="X15" i="1" s="1"/>
  <c r="D16" i="1"/>
  <c r="F16" i="1" s="1"/>
  <c r="W16" i="1" s="1"/>
  <c r="D17" i="1"/>
  <c r="F17" i="1" s="1"/>
  <c r="W17" i="1" s="1"/>
  <c r="D18" i="1"/>
  <c r="F18" i="1" s="1"/>
  <c r="W18" i="1" s="1"/>
  <c r="U18" i="1" s="1"/>
  <c r="X18" i="1" s="1"/>
  <c r="U17" i="1" l="1"/>
  <c r="X17" i="1" s="1"/>
  <c r="U16" i="1"/>
  <c r="X16" i="1"/>
  <c r="U8" i="1"/>
  <c r="X8" i="1" s="1"/>
  <c r="U9" i="1"/>
  <c r="X9" i="1"/>
  <c r="U7" i="1"/>
  <c r="X7" i="1"/>
  <c r="AL6" i="3"/>
  <c r="AK6" i="3"/>
  <c r="AJ15" i="3"/>
  <c r="AG15" i="3"/>
  <c r="AH15" i="3" s="1"/>
  <c r="AG18" i="3"/>
  <c r="AH18" i="3" s="1"/>
  <c r="AL4" i="3"/>
  <c r="AL8" i="3"/>
  <c r="AK8" i="3"/>
  <c r="AK19" i="3"/>
  <c r="AM7" i="3"/>
  <c r="AL10" i="3"/>
  <c r="AK10" i="3"/>
  <c r="AL14" i="3"/>
  <c r="AK14" i="3"/>
  <c r="AG19" i="3"/>
  <c r="AH19" i="3" s="1"/>
  <c r="AK18" i="3"/>
  <c r="AL5" i="3"/>
  <c r="AK5" i="3"/>
  <c r="AK13" i="3"/>
  <c r="AL13" i="3"/>
  <c r="AL16" i="3"/>
  <c r="AK16" i="3"/>
  <c r="AK11" i="3"/>
  <c r="AL11" i="3"/>
  <c r="AK17" i="3"/>
  <c r="AL17" i="3"/>
  <c r="AK4" i="3"/>
  <c r="AK9" i="3"/>
  <c r="AK12" i="3"/>
  <c r="AL14" i="2"/>
  <c r="AK14" i="2"/>
  <c r="A36" i="2" a="1"/>
  <c r="A36" i="2" s="1"/>
  <c r="AM5" i="2"/>
  <c r="AG16" i="2"/>
  <c r="AH16" i="2" s="1"/>
  <c r="AJ16" i="2"/>
  <c r="AG8" i="2"/>
  <c r="AH8" i="2" s="1"/>
  <c r="AM11" i="2"/>
  <c r="AL15" i="2"/>
  <c r="AK15" i="2"/>
  <c r="AL7" i="2"/>
  <c r="AL10" i="2"/>
  <c r="AK8" i="2"/>
  <c r="AL8" i="2"/>
  <c r="AK9" i="2"/>
  <c r="AG4" i="2"/>
  <c r="AH4" i="2" s="1"/>
  <c r="AJ4" i="2"/>
  <c r="AL5" i="2"/>
  <c r="AK6" i="2"/>
  <c r="AK10" i="2"/>
  <c r="AL11" i="2"/>
  <c r="AK12" i="2"/>
  <c r="AK7" i="2"/>
  <c r="AK13" i="2"/>
  <c r="AG9" i="2"/>
  <c r="AH9" i="2" s="1"/>
  <c r="AM13" i="3" l="1"/>
  <c r="AM9" i="3"/>
  <c r="AM8" i="3"/>
  <c r="AL18" i="3"/>
  <c r="AL15" i="3"/>
  <c r="AK15" i="3"/>
  <c r="AM10" i="3"/>
  <c r="AM17" i="3"/>
  <c r="B49" i="3"/>
  <c r="C49" i="3" s="1"/>
  <c r="AM16" i="3"/>
  <c r="AL19" i="3"/>
  <c r="AM6" i="3"/>
  <c r="AM4" i="3"/>
  <c r="AM5" i="3"/>
  <c r="AM18" i="3"/>
  <c r="AM11" i="3"/>
  <c r="AM12" i="3"/>
  <c r="AM14" i="3"/>
  <c r="AM19" i="3"/>
  <c r="AM6" i="2"/>
  <c r="AL16" i="2"/>
  <c r="AK16" i="2"/>
  <c r="AL4" i="2"/>
  <c r="AK4" i="2"/>
  <c r="AM15" i="2"/>
  <c r="AM13" i="2"/>
  <c r="AM7" i="2"/>
  <c r="B48" i="2"/>
  <c r="C48" i="2" s="1"/>
  <c r="AL9" i="2"/>
  <c r="AM14" i="2"/>
  <c r="B43" i="2"/>
  <c r="C43" i="2" s="1"/>
  <c r="AM9" i="2"/>
  <c r="AM12" i="2"/>
  <c r="AM10" i="2"/>
  <c r="AM8" i="2"/>
  <c r="B47" i="3" l="1"/>
  <c r="C47" i="3" s="1"/>
  <c r="B52" i="3"/>
  <c r="C52" i="3" s="1"/>
  <c r="AN10" i="3"/>
  <c r="AN4" i="3"/>
  <c r="A65" i="3"/>
  <c r="B46" i="3"/>
  <c r="C46" i="3" s="1"/>
  <c r="AN19" i="3"/>
  <c r="AM15" i="3"/>
  <c r="AN5" i="3" s="1"/>
  <c r="B53" i="3"/>
  <c r="C53" i="3" s="1"/>
  <c r="AN11" i="3"/>
  <c r="B58" i="3"/>
  <c r="C58" i="3" s="1"/>
  <c r="AN16" i="3"/>
  <c r="AN14" i="3"/>
  <c r="B56" i="3"/>
  <c r="C56" i="3" s="1"/>
  <c r="B51" i="3"/>
  <c r="C51" i="3" s="1"/>
  <c r="AN9" i="3"/>
  <c r="AN6" i="3"/>
  <c r="B48" i="3"/>
  <c r="C48" i="3" s="1"/>
  <c r="AN7" i="3"/>
  <c r="B55" i="3"/>
  <c r="C55" i="3" s="1"/>
  <c r="AN13" i="3"/>
  <c r="B54" i="3"/>
  <c r="C54" i="3" s="1"/>
  <c r="AN12" i="3"/>
  <c r="AN18" i="3"/>
  <c r="B60" i="3"/>
  <c r="C60" i="3" s="1"/>
  <c r="B59" i="3"/>
  <c r="C59" i="3" s="1"/>
  <c r="AN17" i="3"/>
  <c r="B50" i="3"/>
  <c r="C50" i="3" s="1"/>
  <c r="AN8" i="3"/>
  <c r="B44" i="2"/>
  <c r="C44" i="2" s="1"/>
  <c r="B49" i="2"/>
  <c r="C49" i="2" s="1"/>
  <c r="B51" i="2"/>
  <c r="C51" i="2" s="1"/>
  <c r="B45" i="2"/>
  <c r="C45" i="2" s="1"/>
  <c r="AN8" i="2"/>
  <c r="B50" i="2"/>
  <c r="C50" i="2" s="1"/>
  <c r="B47" i="2"/>
  <c r="C47" i="2" s="1"/>
  <c r="AM4" i="2"/>
  <c r="AN12" i="2" s="1"/>
  <c r="AM16" i="2"/>
  <c r="B46" i="2"/>
  <c r="C46" i="2" s="1"/>
  <c r="B80" i="3" l="1"/>
  <c r="B78" i="3"/>
  <c r="B76" i="3"/>
  <c r="B74" i="3"/>
  <c r="B70" i="3"/>
  <c r="C82" i="3"/>
  <c r="C80" i="3"/>
  <c r="C78" i="3"/>
  <c r="C76" i="3"/>
  <c r="C74" i="3"/>
  <c r="C72" i="3"/>
  <c r="C70" i="3"/>
  <c r="C68" i="3"/>
  <c r="B82" i="3"/>
  <c r="B72" i="3"/>
  <c r="B68" i="3"/>
  <c r="C81" i="3"/>
  <c r="C79" i="3"/>
  <c r="C77" i="3"/>
  <c r="C75" i="3"/>
  <c r="C73" i="3"/>
  <c r="C71" i="3"/>
  <c r="C69" i="3"/>
  <c r="B81" i="3"/>
  <c r="B79" i="3"/>
  <c r="B77" i="3"/>
  <c r="B75" i="3"/>
  <c r="B73" i="3"/>
  <c r="B71" i="3"/>
  <c r="B69" i="3"/>
  <c r="AN15" i="3"/>
  <c r="B89" i="3" s="1" a="1"/>
  <c r="B89" i="3" s="1"/>
  <c r="B57" i="3"/>
  <c r="C57" i="3" s="1"/>
  <c r="AN15" i="2"/>
  <c r="A59" i="2"/>
  <c r="B42" i="2"/>
  <c r="AN4" i="2"/>
  <c r="AN11" i="2"/>
  <c r="AN5" i="2"/>
  <c r="AN9" i="2"/>
  <c r="AN14" i="2"/>
  <c r="AN6" i="2"/>
  <c r="AN10" i="2"/>
  <c r="B52" i="2"/>
  <c r="C52" i="2" s="1"/>
  <c r="AN16" i="2"/>
  <c r="AN13" i="2"/>
  <c r="AN7" i="2"/>
  <c r="D82" i="3" l="1" a="1"/>
  <c r="D82" i="3" s="1"/>
  <c r="E82" i="3" a="1"/>
  <c r="E82" i="3" s="1"/>
  <c r="E71" i="3"/>
  <c r="D71" i="3"/>
  <c r="D73" i="3"/>
  <c r="E73" i="3"/>
  <c r="D74" i="3"/>
  <c r="E74" i="3"/>
  <c r="D78" i="3"/>
  <c r="E78" i="3"/>
  <c r="E72" i="3"/>
  <c r="D72" i="3"/>
  <c r="E70" i="3"/>
  <c r="D70" i="3"/>
  <c r="E75" i="3"/>
  <c r="D75" i="3"/>
  <c r="D76" i="3"/>
  <c r="E76" i="3"/>
  <c r="D77" i="3"/>
  <c r="E77" i="3"/>
  <c r="E79" i="3"/>
  <c r="D79" i="3"/>
  <c r="D80" i="3"/>
  <c r="E80" i="3"/>
  <c r="E69" i="3"/>
  <c r="D69" i="3"/>
  <c r="E81" i="3"/>
  <c r="D81" i="3"/>
  <c r="E68" i="3"/>
  <c r="D68" i="3"/>
  <c r="C42" i="2"/>
  <c r="B53" i="2"/>
  <c r="C53" i="2" s="1"/>
  <c r="B80" i="2" a="1"/>
  <c r="B80" i="2" s="1"/>
  <c r="C74" i="2"/>
  <c r="C72" i="2"/>
  <c r="C70" i="2"/>
  <c r="C68" i="2"/>
  <c r="C66" i="2"/>
  <c r="C64" i="2"/>
  <c r="C62" i="2"/>
  <c r="B74" i="2"/>
  <c r="B72" i="2"/>
  <c r="B70" i="2"/>
  <c r="B68" i="2"/>
  <c r="B66" i="2"/>
  <c r="B64" i="2"/>
  <c r="B62" i="2"/>
  <c r="B73" i="2"/>
  <c r="B71" i="2"/>
  <c r="B69" i="2"/>
  <c r="B67" i="2"/>
  <c r="B65" i="2"/>
  <c r="B63" i="2"/>
  <c r="C73" i="2"/>
  <c r="C71" i="2"/>
  <c r="C69" i="2"/>
  <c r="C67" i="2"/>
  <c r="C65" i="2"/>
  <c r="C63" i="2"/>
  <c r="E84" i="3" l="1"/>
  <c r="E83" i="3"/>
  <c r="D84" i="3"/>
  <c r="D83" i="3"/>
  <c r="E64" i="2"/>
  <c r="D64" i="2"/>
  <c r="E63" i="2"/>
  <c r="D63" i="2"/>
  <c r="D65" i="2"/>
  <c r="E65" i="2"/>
  <c r="E67" i="2"/>
  <c r="D67" i="2"/>
  <c r="D68" i="2"/>
  <c r="E68" i="2"/>
  <c r="E66" i="2"/>
  <c r="D66" i="2"/>
  <c r="E70" i="2"/>
  <c r="D70" i="2"/>
  <c r="D69" i="2"/>
  <c r="E69" i="2"/>
  <c r="E72" i="2"/>
  <c r="D72" i="2"/>
  <c r="E71" i="2"/>
  <c r="D71" i="2"/>
  <c r="E74" i="2"/>
  <c r="D74" i="2"/>
  <c r="D73" i="2"/>
  <c r="E73" i="2"/>
  <c r="E62" i="2"/>
  <c r="D62" i="2"/>
  <c r="D76" i="2" l="1"/>
  <c r="D75" i="2"/>
  <c r="E76" i="2"/>
  <c r="E7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<sst xmlns="http://schemas.openxmlformats.org/spreadsheetml/2006/main" count="677" uniqueCount="254">
  <si>
    <t>Year</t>
  </si>
  <si>
    <t>SOC_t_C_ha</t>
  </si>
  <si>
    <t>Project</t>
  </si>
  <si>
    <t>Baseline</t>
  </si>
  <si>
    <t>Difference</t>
  </si>
  <si>
    <t>1 (initialization)</t>
  </si>
  <si>
    <t>Project Area:</t>
  </si>
  <si>
    <t>This sheet contains the calculations associated with the RothC model validation for the baseline scenario, and the associated calculation of model prediction error for the baseline.</t>
  </si>
  <si>
    <t>Baseline Literature Data by Sample</t>
  </si>
  <si>
    <t>Calculations with RothC Baseline Model</t>
  </si>
  <si>
    <t>Full Citation</t>
  </si>
  <si>
    <t>Paper Name</t>
  </si>
  <si>
    <t>Sample ID</t>
  </si>
  <si>
    <t>Paper Type</t>
  </si>
  <si>
    <t>Location</t>
  </si>
  <si>
    <t>IPCC Climate Zone</t>
  </si>
  <si>
    <t>Latitude</t>
  </si>
  <si>
    <t>Longitude</t>
  </si>
  <si>
    <t>Practice Start Date</t>
  </si>
  <si>
    <t>Practice End Date</t>
  </si>
  <si>
    <t>Crop Functional Group (CFG)</t>
  </si>
  <si>
    <t>Duration of Practice (Years)</t>
  </si>
  <si>
    <t>Start Carbon (Original Unit)</t>
  </si>
  <si>
    <t>Start Carbon (Original Value)</t>
  </si>
  <si>
    <t xml:space="preserve">Start Carbon (SOC %) </t>
  </si>
  <si>
    <t>Start Carbon (tons/ha)</t>
  </si>
  <si>
    <t>End Carbon (Original Unit)</t>
  </si>
  <si>
    <t>End Carbon (Original Value)</t>
  </si>
  <si>
    <t xml:space="preserve">End Carbon (SOC %) </t>
  </si>
  <si>
    <t>End Carbon (tons/ha)</t>
  </si>
  <si>
    <t>Sample Depth (m)</t>
  </si>
  <si>
    <t>Measurement Technique</t>
  </si>
  <si>
    <t>Start Bulk Density (g/cm3)</t>
  </si>
  <si>
    <t>End Bulk Density (g/cm3)</t>
  </si>
  <si>
    <t>Bulk Density Source</t>
  </si>
  <si>
    <t>Soil Type</t>
  </si>
  <si>
    <t>USDA Soil Texture</t>
  </si>
  <si>
    <t>Clay Content (%)</t>
  </si>
  <si>
    <t>Clay Content Source</t>
  </si>
  <si>
    <t>Practice / Treatment</t>
  </si>
  <si>
    <t>Sample Standard Deviation (tons/ha)</t>
  </si>
  <si>
    <t>Reported Number of Observations in This Sample</t>
  </si>
  <si>
    <t>Carbon Change (tons/ha)</t>
  </si>
  <si>
    <t>Carbon Change per Year (tons/ha/year)</t>
  </si>
  <si>
    <t>Predicted End Carbon (tons/ha)</t>
  </si>
  <si>
    <t>Predicted Carbon Change (tons/ha)</t>
  </si>
  <si>
    <t>Predicted Carbon Change per Year (tons/ha/year)</t>
  </si>
  <si>
    <t>Predicted Carbon Change Error (tons/ha)</t>
  </si>
  <si>
    <t>Predicted Carbon Change per Year Error (tons/ha/year)</t>
  </si>
  <si>
    <t>Predicted Carbon Change per Year Error with mean removed (tons/ha/year)</t>
  </si>
  <si>
    <t>Hammad, H. M., Khaliq, A., Abbas, F., Farhad, W., Fahad, S., Aslam, M., ... &amp; Bakhat, H. F. (2020). Comparative effects of organic and inorganic fertilizers on soil organic carbon and wheat productivity under arid region. Communications in Soil Science and Plant Analysis, 51(10), 1406-1422.</t>
  </si>
  <si>
    <t>Hammad et al. 2020</t>
  </si>
  <si>
    <t>Hammad et al. 2020a</t>
  </si>
  <si>
    <t>Baseline Multiple</t>
  </si>
  <si>
    <t>Karor Lal Essan, Pakistan</t>
  </si>
  <si>
    <t>Warm Temperate Dry</t>
  </si>
  <si>
    <t>Wheat</t>
  </si>
  <si>
    <t>OM %</t>
  </si>
  <si>
    <t>% OM</t>
  </si>
  <si>
    <t>Walkley Black</t>
  </si>
  <si>
    <t>Paper-reported</t>
  </si>
  <si>
    <t>Loam</t>
  </si>
  <si>
    <t>T2=recommended N, P2O5, and K2O at the rate of 150, 100, and 60 kg ha−1, respectively</t>
  </si>
  <si>
    <t>Kawaka, F., Dida, M., Opala, P., Ombori, O., Maingi, J., Amoding, A., &amp; Muoma, J. (2018). Effect of nitrogen sources on the yield of common bean (Phaseolus vulgaris) in western Kenya. Journal of Plant Nutrition, 41(13), 1652-1661.</t>
  </si>
  <si>
    <t>Kawaka et al. 2018</t>
  </si>
  <si>
    <t>Kawaka et al. 2018a</t>
  </si>
  <si>
    <t>Kisumu, Kenya</t>
  </si>
  <si>
    <t>Tropical Montane</t>
  </si>
  <si>
    <t>Beans</t>
  </si>
  <si>
    <t>unknown</t>
  </si>
  <si>
    <t>Soilgrids</t>
  </si>
  <si>
    <t>Clay</t>
  </si>
  <si>
    <t>Average of T4 and T16, Long rain</t>
  </si>
  <si>
    <t>Kawaka et al. 2018c</t>
  </si>
  <si>
    <t>Kakamega, Kenya</t>
  </si>
  <si>
    <t>Kuttimani, R., Somasundaram, E. , &amp; Velayudham, K. (2017). Ecofriendly nutrient management practices for yield and soil organic of banana. Internaitonal Journal of Applid and Natural Sciences, 6, 55-60</t>
  </si>
  <si>
    <t>Kuttamani and Velayudham 2017</t>
  </si>
  <si>
    <t>Kuttamani and Velayudham 2017a</t>
  </si>
  <si>
    <t>Tamil Nadu, India</t>
  </si>
  <si>
    <t>Tropical Dry</t>
  </si>
  <si>
    <t>Banana</t>
  </si>
  <si>
    <t>Clay Loam</t>
  </si>
  <si>
    <t>T1 - 100% RDF (Control)</t>
  </si>
  <si>
    <t>Luo, C. L., Zhang, X. F., Duan, H. X., Mburu, D. M., Ren, H. X., Kavagi, L., ... &amp; Xiong, Y. C. (2020). Dual plastic film and straw mulching boosts wheat productivity and soil quality under the El Nino in semiarid Kenya. Science of the Total Environment, 738, 139808.</t>
  </si>
  <si>
    <t>Luo et al. 2020</t>
  </si>
  <si>
    <t>Luo et al. 2020a</t>
  </si>
  <si>
    <t>Juja, Kenya</t>
  </si>
  <si>
    <t>g/kg</t>
  </si>
  <si>
    <t>T6 = No mulching in RF was used as the control group (CK) + 100% NPK</t>
  </si>
  <si>
    <t>Mishra, G., &amp; Kushwaha, H. S. (2016). Winter wheat yield and soil physical properties responses to different tillage and irrigation.√äEuropean Journal of Biological Research,√ä6(1), 56-63.</t>
  </si>
  <si>
    <t>Mishra and Kushwaha 2016</t>
  </si>
  <si>
    <t>Mishra and Kushwaha 2016a</t>
  </si>
  <si>
    <t>Ratna Chunni Lal, Uttar Pradesh, India</t>
  </si>
  <si>
    <t>Dry Combustion</t>
  </si>
  <si>
    <t>Cambisols</t>
  </si>
  <si>
    <t>T2: (CT) Conventional Tillage</t>
  </si>
  <si>
    <t>Novara, A., Poma, I., Sarno, M., Venezia, G., &amp; Gristina, L. (2016). Long‚Äêterm durum wheat‚Äêbased cropping systems result in the rapid saturation of soil carbon in the Mediterranean semi‚Äêarid environment. Land degradation &amp; development, 27(3), 612-619.</t>
  </si>
  <si>
    <t>Novara et al. 2016</t>
  </si>
  <si>
    <t>Novara et al. 2016a</t>
  </si>
  <si>
    <t>Cammarata, AG, Italy</t>
  </si>
  <si>
    <t xml:space="preserve">T4 = Wfall = durum wheat/fallow without return of aboveground residues to the soil. </t>
  </si>
  <si>
    <t>Nyamadzawo, G., Chikowo, R., Nyamugafata, P., Nyamangara, J., &amp; Giller, K. E. (2008). Soil organic carbon dynamics of improved fallow-maize rotation systems under conventional and no-tillage in Central Zimbabwe. Nutrient Cycling in Agroecosystems, 81, 85-93.</t>
  </si>
  <si>
    <t>Nyamadzawo et al. 2008</t>
  </si>
  <si>
    <t>Nyamadzawo et al. 2008a</t>
  </si>
  <si>
    <t>Domboshawa, Zimbabwe</t>
  </si>
  <si>
    <t>Maize</t>
  </si>
  <si>
    <t>Sandy Clay Loam</t>
  </si>
  <si>
    <t>CT (conventional tillage) and CM (continuous maize)</t>
  </si>
  <si>
    <t>Patil, S. B., BC, B. R., Chitgupekar, S. C., &amp; Patil, B. B. (2015). Modern tillage and integrated nutrient management practices for improving soil fertility and productivity of groundnut (Arachis hypogaea L.) under rainfed farming system. International Letters of Natural Sciences, (02).</t>
  </si>
  <si>
    <t>Patil et al. 2015</t>
  </si>
  <si>
    <t>Patil et al. 2015a</t>
  </si>
  <si>
    <t>Bengaluru, Karnataka, India</t>
  </si>
  <si>
    <t>T2F2= Conventional tillage + two intercultivations, 100% NPK</t>
  </si>
  <si>
    <t>Suner, L., Galantini, J., &amp; Minoldo, G. (2014). Soil phosphorus dynamics of wheat-based cropping systems in the semiarid region of Argentina. Applied and Environmental Soil Science, 2014.</t>
  </si>
  <si>
    <t>Suner et al. 2014</t>
  </si>
  <si>
    <t>Suner et al. 2014a</t>
  </si>
  <si>
    <t>Bordenave, Buenos Aires Province, Argentina</t>
  </si>
  <si>
    <t>T2: WW, continuous wheat. Following harvest, there was a 4–6-month fallow (January–June) under stubble mulch used for soil moisture storage, mechanical weed control using chisel ploughing to a depth of 0.20 m preceded wheat deep-furrow seeding, which deposits the seed 8–10 cm deep.</t>
  </si>
  <si>
    <t>Swanepoel, C. M., R√∂tter,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</si>
  <si>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</t>
  </si>
  <si>
    <t>Swanepoel et al. 2018a</t>
  </si>
  <si>
    <t>Buffelsvallei, South Africa</t>
  </si>
  <si>
    <t>a: maize monoculture, conventional tillage</t>
  </si>
  <si>
    <t>Swanepoel et al. 2018b</t>
  </si>
  <si>
    <t>Zeekoegat, South Africa</t>
  </si>
  <si>
    <t>Warm temperate Dry</t>
  </si>
  <si>
    <t>Wu, Z., Tang, Z., Yu, T., Zhang, J., Zheng, Y., Yang, J., ... &amp; Sun, Q. (2023). Nitrogen fertilization rates mediate rhizosphere soil carbon emissions of continuous peanut monoculture by altering cellulose-specific microbess. Frontiers in Plant Science, 14, 1109860.</t>
  </si>
  <si>
    <t>Wu et al. 2023</t>
  </si>
  <si>
    <t>Wu et al. 2023a</t>
  </si>
  <si>
    <t>Laixi, Qingdao, Shandong, China</t>
  </si>
  <si>
    <t>OM g/kg</t>
  </si>
  <si>
    <t>100% recommended N rate (N120)</t>
  </si>
  <si>
    <t xml:space="preserve">Data by Journal Article </t>
  </si>
  <si>
    <t>Number of Samples</t>
  </si>
  <si>
    <t>Climate Zone</t>
  </si>
  <si>
    <t>Carbon Change Standard Deviation (tons/ha)</t>
  </si>
  <si>
    <t>Duration of Practice (Average if Multiple Trials)</t>
  </si>
  <si>
    <t>Yearly Carbon Change Standard Deviation (tons/ha/year)</t>
  </si>
  <si>
    <t xml:space="preserve">Pooled Measurement Uncertainty </t>
  </si>
  <si>
    <t>Yearly Pooled Measurement Uncertainty (tons/ha/year)</t>
  </si>
  <si>
    <t>Pooled Measurement Uncertainty Comparison: 
Bias of each paper must be less than the PMU</t>
  </si>
  <si>
    <t>Yearly Carbon Change Bias (tons/ha/year)</t>
  </si>
  <si>
    <t>Pass/Fail PMU Test (Yearly Carbon Change)</t>
  </si>
  <si>
    <t>Total</t>
  </si>
  <si>
    <t xml:space="preserve">90% Confidence Interval: 90% of predictions must be within the 90% confidence interval </t>
  </si>
  <si>
    <t>Standard Deviation of Yearly Carbon Change Residuals (tons/ha/year)</t>
  </si>
  <si>
    <t xml:space="preserve">Yearly Carbon Change Lower 90% Confidence Interval </t>
  </si>
  <si>
    <t xml:space="preserve">Yearly Carbon Change Upper 90% Confidence Interval </t>
  </si>
  <si>
    <t>Number of Samples Within Confidence Interval (Yearly Carbon Change)</t>
  </si>
  <si>
    <t>Number of Samples Outside of Confidence interval (Yearly Carbon Change)</t>
  </si>
  <si>
    <t>Percent Total</t>
  </si>
  <si>
    <t>MODEL PREDICTION ERROR</t>
  </si>
  <si>
    <t>rmse with mean removed (ton C/ha, formula from VMD53)</t>
  </si>
  <si>
    <t>This sheet contains the calculations associated with the RothC model validation for the project scenario, and the associated calculation of model prediction error for the project scenario</t>
  </si>
  <si>
    <t>Improved Practice Literature Data by Sample</t>
  </si>
  <si>
    <t>Calculations with RothC Project Model</t>
  </si>
  <si>
    <t>Babu, M. V., Nataraja, K. C., Srihari, A., Reddy, B. S., Ravindrachary, G., &amp; Rao, C. S. (2016). Impact of Long Term Integrated Nutrient Management on Groundnut Yield and Soil Properties in Scarce Rainfall Zone of Andhra Pradesh, India. Indian Journal of Ecology, 43(Special Issue 1), 452-454.</t>
  </si>
  <si>
    <t>Babu et al. 2016</t>
  </si>
  <si>
    <t>Babu et al. 2016b</t>
  </si>
  <si>
    <t>Improved Multiple</t>
  </si>
  <si>
    <t>Chennarayunipalle, Andhra Pradesh, India</t>
  </si>
  <si>
    <t>Vertisols</t>
  </si>
  <si>
    <t>T7 = Half RFD (T3) +FYM @ 4 t/ha (T5)</t>
  </si>
  <si>
    <t>Bhalerao, V. P., Patil, N. M., Badgujar, C. D., &amp; Patil, D. R. (2009). Studies on integrated nutrient management for tissue cultured Grand Naine banana. Indian Journal of Agricultural Research, 43(2), 107-112.</t>
  </si>
  <si>
    <t>Bhalerao et al. 2009</t>
  </si>
  <si>
    <t>Jalgaon, Maharashtra, India</t>
  </si>
  <si>
    <t>Walkley and Black</t>
  </si>
  <si>
    <t>T3 vs T1 (control) using a space-for-time</t>
  </si>
  <si>
    <t>Abd El-Azeim, M. M., Sherif, M. A., Hussien, M. S., &amp; Haddad, S. A. (2020). Temporal impacts of different fertilization systems on soil health under arid conditions of potato monocropping. Journal of Soil Science and Plant Nutrition, 20, 322-334.</t>
  </si>
  <si>
    <t>El-Azeim et al. 2020</t>
  </si>
  <si>
    <t>Minya, Egypt</t>
  </si>
  <si>
    <t>Control was compost only, NPK was used for chemical fertizlizers, nanofertilizers. There are also compost = (100%, 50%, or 25%) synthetic fertilizers. In trials with compost, 40 t/ha were applied. Interested in Control, FS5, FS6, FS7, FS8. No dates are provided, not even a year, all we know is that harvest was 115 days after planting. No sample depth is provided.</t>
  </si>
  <si>
    <t>Guo, Yifan, Mingyou Chen, Junxiao Pan, Yiwei Shang, Xingjie Wu, and Zhenling Cui. "Increasing soil organic carbon sequestration while closing the yield gap in Chinese wheat production."¬†Land Degradation &amp; Development¬†32, no. 3 (2021): 1274-1286.</t>
  </si>
  <si>
    <t>Guo et al. 2020</t>
  </si>
  <si>
    <t>Quzhou County, Handan, Hebei, China</t>
  </si>
  <si>
    <t>Phaeozems</t>
  </si>
  <si>
    <t xml:space="preserve">Improved crop management combined with manure application (IMsoil) </t>
  </si>
  <si>
    <t>Hammad et al. 2020b</t>
  </si>
  <si>
    <t>OM (%)</t>
  </si>
  <si>
    <t>T3 = (FM + PL)</t>
  </si>
  <si>
    <t>Kuttamani and Velayudham 2017b</t>
  </si>
  <si>
    <t>T13 = 75% RDF + FYM</t>
  </si>
  <si>
    <t>Luo et al. 2020b</t>
  </si>
  <si>
    <t>T1 = furrows mulched with wheat straw and ridges mulched with black plastic film (Rfbs) + 100% NPK</t>
  </si>
  <si>
    <t>Mishra, G., &amp; Kushwaha, H. S. (2016). Winter wheat yield and soil physical properties responses to different tillage and irrigation.¬†European Journal of Biological Research,¬†6(1), 56-63.</t>
  </si>
  <si>
    <t>Mishra and Kushwaha 2016b</t>
  </si>
  <si>
    <t xml:space="preserve">T1=(ZT) zero tillage </t>
  </si>
  <si>
    <t>Nyamadzawo et al. 2008b</t>
  </si>
  <si>
    <t>Patil et al. 2015b</t>
  </si>
  <si>
    <t>Bengaluru, Karnataka, IND</t>
  </si>
  <si>
    <t>T1F1= Conventional tillage + one intercultivation, 100% organics (FYM @ 25 kg N equivalent)</t>
  </si>
  <si>
    <t>Phiri, A. T., Weil, R. R., Yobe, G., Msaky, J. J., Mrema, J., Grossman, J., &amp; Harawa, R. (2014). Insitu assessment of soil nitrate-nitrogen in the pigeon pea-groundnut intercropping-maize rotation system: implications on nitrogen management for increased maize productivity. International Research Journal of Agricultural Science and Soil Science, 4(2), 13-29.</t>
  </si>
  <si>
    <t>Phiri et al. 2014</t>
  </si>
  <si>
    <t>Phiri et al. 2014b</t>
  </si>
  <si>
    <t>Chitedze, Malawi</t>
  </si>
  <si>
    <t>Luvisols</t>
  </si>
  <si>
    <t>T6 = Long Duration
Pigeon Pea +
Groundnuts</t>
  </si>
  <si>
    <t>Rajput, A., Memon, M., Memon, K. S., Sial, T. A., &amp; Laghari, H. B. (2022). Integrated nutrient management in banana: comparative role of fym and composted pressmud for the improvement of soil properties.¬†Pakistan Journal of Botany,¬†54(1), 355-362.</t>
  </si>
  <si>
    <t>Rajput et al. 2022</t>
  </si>
  <si>
    <t>Rajput et al. 2022b</t>
  </si>
  <si>
    <t>Haji Khaman Nizamani, Pakistan</t>
  </si>
  <si>
    <t>T = 500-187-0 NPK + composted pressmud (CPM) at 20 t ha-1</t>
  </si>
  <si>
    <t>Roohi, M., Arif, M. S., Guillaume, T., Yasmeen, T., Riaz, M., Shakoor, A., ... &amp; Bragazza, L. (2022). Role of fertilization regime on soil carbon sequestration and crop yield in a maize-cowpea intercropping system on low fertility soils.¬†Geoderma,¬†428, 11</t>
  </si>
  <si>
    <t>Roohi et al. 2022</t>
  </si>
  <si>
    <t>Dialgarh, Pakistan</t>
  </si>
  <si>
    <t>T = NPKEC: multi-nutrient enriched compost fertilization + Maize monocrop</t>
  </si>
  <si>
    <t>Sireesha, P. G., Padmaja, G., Babu, M. V. S., &amp; Rao, P. (2017). Effect of long-term fertilization on soil enzymetion on soil enzyme activities under groundnut based cropping system. An International quarterly journal of life sciences, 12(3), 1755-1758.</t>
  </si>
  <si>
    <t>Sireesha et al. 2017</t>
  </si>
  <si>
    <t>Sireesha et al. 2017b</t>
  </si>
  <si>
    <t>Katiganikalva, Andhra Pradesh, India</t>
  </si>
  <si>
    <t xml:space="preserve">T5 = FYM@5tha-1 </t>
  </si>
  <si>
    <t>Swanepoel, C. M., Rötter,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</si>
  <si>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2018c</t>
  </si>
  <si>
    <t>b = Maize sole crop reduced tillage</t>
  </si>
  <si>
    <t>Swanepoel et al. 2018d</t>
  </si>
  <si>
    <t>Citation</t>
  </si>
  <si>
    <t xml:space="preserve">Yearly Carbon Change Lower 90% Confindence Interval </t>
  </si>
  <si>
    <t xml:space="preserve">Yearly Carbon Change Upper 90% Confindence Interval </t>
  </si>
  <si>
    <t xml:space="preserve">Note: while less than 90% of the samples are within the confidence intervals, the errors are vanishingly small, simply the numerical limit of the optimizer. The largest error is -1.1x10^10 tons/ha/year.  When RothC is fit directly to two carbon measurements in time the predicted soil carbon at the end time point is effectively exact. Thus the 90% of samples within the 90% confidence interval should be disregarded here. </t>
  </si>
  <si>
    <t>RMSE with mean removed (ton C/ha/yr, equation from VMD53)</t>
  </si>
  <si>
    <t>Units ----&gt;</t>
  </si>
  <si>
    <t>Est ERs</t>
  </si>
  <si>
    <t>tCO2e</t>
  </si>
  <si>
    <t>Est Error</t>
  </si>
  <si>
    <t>Samples</t>
  </si>
  <si>
    <t>Prediction (RothC Baseline 2025)</t>
  </si>
  <si>
    <t>Field-measurement (2025)</t>
  </si>
  <si>
    <t>Variance (inherent)</t>
  </si>
  <si>
    <t>Variance (calculated)</t>
  </si>
  <si>
    <t>Caltic Vertisol</t>
  </si>
  <si>
    <t>Ferric Lixosols</t>
  </si>
  <si>
    <t>Baseline Scenario (after 2025 field-sampling)</t>
  </si>
  <si>
    <t>Baseline Sampling Error (tC/ha/yr)^2</t>
  </si>
  <si>
    <t>Total Error (tC/ha/yr)^2</t>
  </si>
  <si>
    <t>Totals</t>
  </si>
  <si>
    <t>Representative Area</t>
  </si>
  <si>
    <t>Model Error (tC/ha/yr)^2</t>
  </si>
  <si>
    <t>QA1</t>
  </si>
  <si>
    <t>QA3</t>
  </si>
  <si>
    <t>N2O Emissions Burning (Baseline only)</t>
  </si>
  <si>
    <t>CH4 Emissions Burning (Baseline only)</t>
  </si>
  <si>
    <t>Fossil Fuel (Baseline)</t>
  </si>
  <si>
    <t>Fossil Fuel (Project)</t>
  </si>
  <si>
    <t>Fertilizer Usage (Baseline)</t>
  </si>
  <si>
    <t>Fertilizer Usage (Project)</t>
  </si>
  <si>
    <t>Total (QA3 Emissions)</t>
  </si>
  <si>
    <t xml:space="preserve">Vintage period </t>
  </si>
  <si>
    <r>
      <t>Estimated baseline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</si>
  <si>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project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</si>
  <si>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leakage emissions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</si>
  <si>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buffer pool allocation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</si>
  <si>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reduction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</si>
  <si>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removal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</si>
  <si>
    <r>
      <t>Estimated total VCUs (tCO</t>
    </r>
    <r>
      <rPr>
        <b/>
        <vertAlign val="subscript"/>
        <sz val="9.5"/>
        <color rgb="FFFFFFFF"/>
        <rFont val="Franklin Gothic Book"/>
        <family val="2"/>
      </rPr>
      <t>2</t>
    </r>
    <r>
      <rPr>
        <b/>
        <sz val="9.5"/>
        <color rgb="FFFFFFFF"/>
        <rFont val="Franklin Gothic Book"/>
        <family val="2"/>
      </rPr>
      <t>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</si>
</sst>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0.000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rgb="FF7F7F7F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Calibri (Body)"/>
    </font>
    <font>
      <b/>
      <sz val="12"/>
      <color theme="1"/>
      <name val="Calibri"/>
      <family val="2"/>
    </font>
    <font>
      <b/>
      <sz val="12"/>
      <name val="Aptos Narrow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name val="Calibri (Body)"/>
    </font>
    <font>
      <sz val="12"/>
      <color rgb="FF000000"/>
      <name val="Aptos Narrow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1"/>
      <name val="Calibri"/>
      <family val="2"/>
    </font>
    <font>
      <b/>
      <sz val="16"/>
      <color theme="1"/>
      <name val="Calibri (Body)"/>
    </font>
    <font>
      <sz val="12"/>
      <color theme="1"/>
      <name val="Franklin Gothic Medium"/>
      <family val="2"/>
    </font>
    <font>
      <sz val="12"/>
      <color theme="5" tint="-0.49998474074526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name val="Calibri (Body)"/>
    </font>
    <font>
      <sz val="12"/>
      <name val="Franklin Gothic Medium"/>
      <family val="2"/>
    </font>
    <font>
      <b/>
      <sz val="16"/>
      <name val="Aptos Narrow"/>
      <family val="2"/>
      <scheme val="minor"/>
    </font>
    <font>
      <sz val="9.5"/>
      <color theme="1"/>
      <name val="Franklin Gothic Book"/>
      <family val="2"/>
    </font>
    <font>
      <b/>
      <sz val="9.5"/>
      <color rgb="FFFFFFFF"/>
      <name val="Franklin Gothic Book"/>
      <family val="2"/>
    </font>
    <font>
      <b/>
      <vertAlign val="subscript"/>
      <sz val="9.5"/>
      <color rgb="FFFFFFFF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2B395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/>
    <xf numFmtId="4" fontId="0" fillId="0" borderId="0" xfId="0" applyNumberFormat="1"/>
    <xf numFmtId="0" fontId="3" fillId="0" borderId="0" xfId="0" applyFont="1"/>
    <xf numFmtId="43" fontId="1" fillId="0" borderId="0" xfId="1" applyFont="1"/>
    <xf numFmtId="0" fontId="6" fillId="0" borderId="0" xfId="2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7" fillId="0" borderId="0" xfId="0" applyFont="1"/>
    <xf numFmtId="0" fontId="8" fillId="0" borderId="1" xfId="0" applyFont="1" applyBorder="1" applyAlignment="1">
      <alignment wrapText="1"/>
    </xf>
    <xf numFmtId="2" fontId="8" fillId="0" borderId="1" xfId="0" applyNumberFormat="1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165" fontId="9" fillId="0" borderId="1" xfId="0" applyNumberFormat="1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0" fillId="0" borderId="1" xfId="0" applyBorder="1"/>
    <xf numFmtId="164" fontId="13" fillId="0" borderId="1" xfId="0" applyNumberFormat="1" applyFont="1" applyBorder="1"/>
    <xf numFmtId="1" fontId="13" fillId="0" borderId="1" xfId="0" applyNumberFormat="1" applyFont="1" applyBorder="1"/>
    <xf numFmtId="2" fontId="13" fillId="0" borderId="1" xfId="0" applyNumberFormat="1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2" fontId="13" fillId="0" borderId="1" xfId="0" applyNumberFormat="1" applyFont="1" applyBorder="1"/>
    <xf numFmtId="0" fontId="13" fillId="0" borderId="1" xfId="0" applyFont="1" applyBorder="1" applyAlignment="1">
      <alignment horizontal="left"/>
    </xf>
    <xf numFmtId="0" fontId="13" fillId="0" borderId="3" xfId="0" applyFont="1" applyBorder="1"/>
    <xf numFmtId="0" fontId="15" fillId="0" borderId="4" xfId="0" applyFont="1" applyBorder="1"/>
    <xf numFmtId="2" fontId="13" fillId="0" borderId="5" xfId="0" applyNumberFormat="1" applyFont="1" applyBorder="1"/>
    <xf numFmtId="0" fontId="0" fillId="0" borderId="1" xfId="0" applyBorder="1" applyAlignment="1">
      <alignment horizontal="left" wrapText="1"/>
    </xf>
    <xf numFmtId="165" fontId="0" fillId="0" borderId="0" xfId="0" applyNumberFormat="1" applyAlignment="1">
      <alignment vertical="center" wrapText="1"/>
    </xf>
    <xf numFmtId="2" fontId="16" fillId="0" borderId="0" xfId="0" applyNumberFormat="1" applyFont="1"/>
    <xf numFmtId="11" fontId="16" fillId="0" borderId="0" xfId="0" applyNumberFormat="1" applyFont="1"/>
    <xf numFmtId="0" fontId="13" fillId="0" borderId="1" xfId="0" applyFont="1" applyBorder="1" applyAlignment="1">
      <alignment horizontal="right"/>
    </xf>
    <xf numFmtId="2" fontId="13" fillId="0" borderId="1" xfId="0" applyNumberFormat="1" applyFont="1" applyBorder="1" applyAlignment="1">
      <alignment horizontal="right" vertical="center" wrapText="1"/>
    </xf>
    <xf numFmtId="0" fontId="13" fillId="0" borderId="0" xfId="0" applyFont="1"/>
    <xf numFmtId="0" fontId="13" fillId="0" borderId="2" xfId="0" applyFont="1" applyBorder="1" applyAlignment="1">
      <alignment horizontal="right"/>
    </xf>
    <xf numFmtId="165" fontId="1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2" fontId="0" fillId="0" borderId="5" xfId="0" applyNumberFormat="1" applyBorder="1"/>
    <xf numFmtId="0" fontId="0" fillId="0" borderId="6" xfId="0" applyBorder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164" fontId="13" fillId="0" borderId="1" xfId="0" applyNumberFormat="1" applyFont="1" applyBorder="1" applyAlignment="1">
      <alignment wrapText="1"/>
    </xf>
    <xf numFmtId="2" fontId="13" fillId="0" borderId="5" xfId="0" applyNumberFormat="1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2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7" fillId="0" borderId="0" xfId="0" applyFont="1"/>
    <xf numFmtId="0" fontId="18" fillId="0" borderId="1" xfId="0" applyFont="1" applyBorder="1" applyAlignment="1">
      <alignment horizontal="right"/>
    </xf>
    <xf numFmtId="0" fontId="16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2" xfId="0" applyFont="1" applyBorder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4" xfId="0" applyBorder="1"/>
    <xf numFmtId="0" fontId="0" fillId="0" borderId="5" xfId="0" applyBorder="1"/>
    <xf numFmtId="165" fontId="0" fillId="0" borderId="1" xfId="0" applyNumberFormat="1" applyBorder="1" applyAlignment="1">
      <alignment horizontal="right"/>
    </xf>
    <xf numFmtId="0" fontId="5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11" fontId="22" fillId="0" borderId="0" xfId="0" applyNumberFormat="1" applyFont="1"/>
    <xf numFmtId="0" fontId="5" fillId="0" borderId="7" xfId="0" applyFont="1" applyBorder="1"/>
    <xf numFmtId="11" fontId="0" fillId="0" borderId="7" xfId="0" applyNumberFormat="1" applyBorder="1"/>
    <xf numFmtId="0" fontId="23" fillId="0" borderId="0" xfId="0" applyFont="1"/>
    <xf numFmtId="165" fontId="0" fillId="0" borderId="0" xfId="0" applyNumberFormat="1"/>
    <xf numFmtId="0" fontId="5" fillId="0" borderId="8" xfId="0" applyFont="1" applyBorder="1"/>
    <xf numFmtId="0" fontId="5" fillId="0" borderId="9" xfId="0" applyFont="1" applyBorder="1"/>
    <xf numFmtId="10" fontId="5" fillId="0" borderId="9" xfId="0" applyNumberFormat="1" applyFont="1" applyBorder="1"/>
    <xf numFmtId="10" fontId="5" fillId="0" borderId="10" xfId="0" applyNumberFormat="1" applyFont="1" applyBorder="1"/>
    <xf numFmtId="0" fontId="12" fillId="0" borderId="0" xfId="0" applyFont="1"/>
    <xf numFmtId="2" fontId="17" fillId="0" borderId="0" xfId="0" applyNumberFormat="1" applyFont="1"/>
    <xf numFmtId="164" fontId="17" fillId="0" borderId="0" xfId="0" applyNumberFormat="1" applyFont="1"/>
    <xf numFmtId="1" fontId="17" fillId="0" borderId="0" xfId="0" applyNumberFormat="1" applyFont="1"/>
    <xf numFmtId="0" fontId="8" fillId="0" borderId="1" xfId="0" applyFont="1" applyBorder="1" applyAlignment="1">
      <alignment horizontal="left" wrapText="1"/>
    </xf>
    <xf numFmtId="2" fontId="8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165" fontId="9" fillId="0" borderId="1" xfId="0" applyNumberFormat="1" applyFont="1" applyBorder="1" applyAlignment="1">
      <alignment horizontal="left" wrapText="1"/>
    </xf>
    <xf numFmtId="1" fontId="8" fillId="0" borderId="1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right"/>
    </xf>
    <xf numFmtId="0" fontId="13" fillId="0" borderId="5" xfId="0" applyFont="1" applyBorder="1"/>
    <xf numFmtId="2" fontId="13" fillId="0" borderId="1" xfId="0" applyNumberFormat="1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24" fillId="0" borderId="0" xfId="0" applyFont="1"/>
    <xf numFmtId="2" fontId="17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25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wrapText="1"/>
    </xf>
    <xf numFmtId="0" fontId="26" fillId="0" borderId="0" xfId="0" applyFont="1"/>
    <xf numFmtId="0" fontId="8" fillId="0" borderId="0" xfId="0" applyFont="1" applyAlignment="1">
      <alignment horizontal="left" wrapText="1"/>
    </xf>
    <xf numFmtId="11" fontId="0" fillId="0" borderId="0" xfId="0" applyNumberFormat="1"/>
    <xf numFmtId="0" fontId="17" fillId="0" borderId="0" xfId="0" applyFont="1" applyAlignment="1">
      <alignment vertical="top" wrapText="1" shrinkToFit="1"/>
    </xf>
    <xf numFmtId="0" fontId="3" fillId="0" borderId="1" xfId="0" applyFont="1" applyBorder="1"/>
    <xf numFmtId="43" fontId="0" fillId="0" borderId="0" xfId="0" applyNumberFormat="1"/>
    <xf numFmtId="0" fontId="27" fillId="0" borderId="0" xfId="0" applyFont="1"/>
    <xf numFmtId="0" fontId="28" fillId="2" borderId="11" xfId="0" applyFont="1" applyFill="1" applyBorder="1" applyAlignment="1">
      <alignment vertical="center" wrapText="1"/>
    </xf>
    <xf numFmtId="0" fontId="28" fillId="2" borderId="12" xfId="0" applyFont="1" applyFill="1" applyBorder="1" applyAlignment="1">
      <alignment vertical="center" wrapText="1"/>
    </xf>
    <xf numFmtId="0" fontId="28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17" fillId="0" borderId="0" xfId="0" applyFont="1" applyAlignment="1">
      <alignment vertical="top" wrapText="1" shrinkToFit="1"/>
    </xf>
  </cellXfs>
  <cellStyles count="3">
    <cellStyle name="Comma" xfId="1" builtinId="3"/>
    <cellStyle name="Explanatory Text" xfId="2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C356-BFF7-1A4F-8872-7C39E98F0955}">
  <dimension ref="A2:X49"/>
  <sheetViews>
    <sheetView tabSelected="1" zoomScale="150" zoomScaleNormal="176" workbookViewId="0">
      <selection activeCell="A6" sqref="A6"/>
    </sheetView>
  </sheetViews>
  <sheetFormatPr baseColWidth="10" defaultRowHeight="16" x14ac:dyDescent="0.2"/>
  <cols>
    <col min="1" max="1" width="17.5" customWidth="1"/>
    <col min="6" max="6" width="13.1640625" customWidth="1"/>
    <col min="8" max="8" width="11.5" bestFit="1" customWidth="1"/>
    <col min="9" max="9" width="32.6640625" customWidth="1"/>
    <col min="10" max="10" width="32.83203125" customWidth="1"/>
    <col min="11" max="11" width="19.83203125" customWidth="1"/>
    <col min="12" max="12" width="18.5" customWidth="1"/>
    <col min="13" max="13" width="22.5" customWidth="1"/>
    <col min="14" max="14" width="22.1640625" customWidth="1"/>
    <col min="15" max="15" width="19.5" customWidth="1"/>
    <col min="17" max="19" width="11" bestFit="1" customWidth="1"/>
    <col min="20" max="20" width="11.83203125" bestFit="1" customWidth="1"/>
    <col min="21" max="22" width="11" bestFit="1" customWidth="1"/>
    <col min="23" max="23" width="11.5" bestFit="1" customWidth="1"/>
    <col min="24" max="24" width="14.33203125" bestFit="1" customWidth="1"/>
  </cols>
  <sheetData>
    <row r="2" spans="1:24" x14ac:dyDescent="0.2">
      <c r="A2" t="s">
        <v>6</v>
      </c>
      <c r="B2" s="2">
        <f>91000*0.2</f>
        <v>18200</v>
      </c>
    </row>
    <row r="3" spans="1:24" x14ac:dyDescent="0.2">
      <c r="F3" s="128" t="s">
        <v>237</v>
      </c>
      <c r="G3" s="128"/>
      <c r="I3" s="128" t="s">
        <v>238</v>
      </c>
      <c r="J3" s="128"/>
      <c r="K3" s="128"/>
      <c r="L3" s="128"/>
      <c r="M3" s="128"/>
      <c r="N3" s="128"/>
      <c r="O3" s="128"/>
    </row>
    <row r="4" spans="1:24" x14ac:dyDescent="0.2">
      <c r="A4" s="1" t="s">
        <v>0</v>
      </c>
      <c r="B4" s="3" t="s">
        <v>2</v>
      </c>
      <c r="C4" s="3" t="s">
        <v>3</v>
      </c>
      <c r="D4" s="3" t="s">
        <v>4</v>
      </c>
      <c r="E4" s="3"/>
      <c r="F4" s="3" t="s">
        <v>221</v>
      </c>
      <c r="G4" s="3" t="s">
        <v>223</v>
      </c>
      <c r="H4" s="3"/>
      <c r="I4" s="3" t="s">
        <v>239</v>
      </c>
      <c r="J4" s="3" t="s">
        <v>240</v>
      </c>
      <c r="K4" s="3" t="s">
        <v>241</v>
      </c>
      <c r="L4" s="3" t="s">
        <v>242</v>
      </c>
      <c r="M4" s="3" t="s">
        <v>243</v>
      </c>
      <c r="N4" s="3" t="s">
        <v>244</v>
      </c>
      <c r="O4" s="3" t="s">
        <v>245</v>
      </c>
      <c r="Q4" s="3"/>
      <c r="T4" s="3"/>
    </row>
    <row r="5" spans="1:24" ht="17" thickBot="1" x14ac:dyDescent="0.25">
      <c r="A5" t="s">
        <v>220</v>
      </c>
      <c r="B5" t="s">
        <v>1</v>
      </c>
      <c r="C5" t="s">
        <v>1</v>
      </c>
      <c r="D5" s="1" t="s">
        <v>1</v>
      </c>
      <c r="E5" s="1"/>
      <c r="F5" s="1" t="s">
        <v>222</v>
      </c>
      <c r="G5" s="1" t="s">
        <v>222</v>
      </c>
      <c r="H5" s="1"/>
      <c r="I5" t="s">
        <v>222</v>
      </c>
      <c r="J5" t="s">
        <v>222</v>
      </c>
      <c r="K5" t="s">
        <v>222</v>
      </c>
      <c r="L5" t="s">
        <v>222</v>
      </c>
      <c r="M5" t="s">
        <v>222</v>
      </c>
      <c r="N5" t="s">
        <v>222</v>
      </c>
      <c r="O5" t="s">
        <v>222</v>
      </c>
    </row>
    <row r="6" spans="1:24" ht="61" thickBot="1" x14ac:dyDescent="0.25">
      <c r="A6" s="1" t="s">
        <v>5</v>
      </c>
      <c r="B6">
        <v>36.879468944307497</v>
      </c>
      <c r="C6">
        <v>28.9405112459125</v>
      </c>
      <c r="D6">
        <f>B6-C6</f>
        <v>7.9389576983949972</v>
      </c>
      <c r="F6" s="4">
        <f>D6*$B$2*44/12</f>
        <v>529793.11040622613</v>
      </c>
      <c r="G6">
        <f>SQRT('Sampling &amp; Combined Error'!$E$14)*$B$2*44/12</f>
        <v>39079.761084041042</v>
      </c>
      <c r="H6" s="123"/>
      <c r="Q6" s="124" t="s">
        <v>246</v>
      </c>
      <c r="R6" s="125" t="s">
        <v>247</v>
      </c>
      <c r="S6" s="125" t="s">
        <v>248</v>
      </c>
      <c r="T6" s="125" t="s">
        <v>249</v>
      </c>
      <c r="U6" s="126" t="s">
        <v>250</v>
      </c>
      <c r="V6" s="125" t="s">
        <v>251</v>
      </c>
      <c r="W6" s="125" t="s">
        <v>252</v>
      </c>
      <c r="X6" s="127" t="s">
        <v>253</v>
      </c>
    </row>
    <row r="7" spans="1:24" x14ac:dyDescent="0.2">
      <c r="A7" s="1">
        <v>2025</v>
      </c>
      <c r="B7">
        <v>36.8794679655715</v>
      </c>
      <c r="C7">
        <v>28.9405102737269</v>
      </c>
      <c r="D7">
        <f t="shared" ref="D7:D18" si="0">B7-C7</f>
        <v>7.9389576918445997</v>
      </c>
      <c r="F7" s="4">
        <f t="shared" ref="F7:F18" si="1">D7*$B$2*44/12</f>
        <v>529793.10996909626</v>
      </c>
      <c r="G7">
        <f>SQRT('Sampling &amp; Combined Error'!$E$14)*$B$2*44/12</f>
        <v>39079.761084041042</v>
      </c>
      <c r="H7" s="123"/>
      <c r="I7">
        <v>217.375</v>
      </c>
      <c r="J7">
        <v>379.66660000000002</v>
      </c>
      <c r="K7">
        <v>1554.49771021999</v>
      </c>
      <c r="L7">
        <v>1107.5355199999999</v>
      </c>
      <c r="M7">
        <v>12306.966700000001</v>
      </c>
      <c r="N7">
        <v>6153.4832999999999</v>
      </c>
      <c r="O7">
        <f>(N7+L7)-(I7+J7+K7+M7)</f>
        <v>-7197.487190219992</v>
      </c>
      <c r="Q7" s="1">
        <v>2025</v>
      </c>
      <c r="R7">
        <f>SUM(I7,J7,K7,M7)</f>
        <v>14458.506010219991</v>
      </c>
      <c r="S7">
        <f>SUM(L7,N7)</f>
        <v>7261.0188199999993</v>
      </c>
      <c r="U7" s="123">
        <f>(W7+V7)*0.175</f>
        <v>87134.396313173158</v>
      </c>
      <c r="V7">
        <f>R7-S7</f>
        <v>7197.487190219992</v>
      </c>
      <c r="W7" s="123">
        <f>F7-G7</f>
        <v>490713.34888505522</v>
      </c>
      <c r="X7" s="123">
        <f>W7+V7-U7</f>
        <v>410776.43976210203</v>
      </c>
    </row>
    <row r="8" spans="1:24" x14ac:dyDescent="0.2">
      <c r="A8" s="1">
        <v>2026</v>
      </c>
      <c r="B8">
        <v>36.879467005335201</v>
      </c>
      <c r="C8">
        <v>29.334501623375701</v>
      </c>
      <c r="D8">
        <f t="shared" si="0"/>
        <v>7.5449653819595</v>
      </c>
      <c r="F8" s="4">
        <f t="shared" si="1"/>
        <v>503500.68982276396</v>
      </c>
      <c r="G8">
        <f>SQRT('Sampling &amp; Combined Error'!$E$14)*$B$2*44/12</f>
        <v>39079.761084041042</v>
      </c>
      <c r="H8" s="123"/>
      <c r="I8">
        <v>217.375</v>
      </c>
      <c r="J8">
        <v>379.66660000000002</v>
      </c>
      <c r="K8">
        <v>1554.49771021999</v>
      </c>
      <c r="L8">
        <v>1107.5355199999999</v>
      </c>
      <c r="M8">
        <v>12306.966700000001</v>
      </c>
      <c r="N8">
        <v>6153.4832999999999</v>
      </c>
      <c r="O8">
        <f t="shared" ref="O8:O18" si="2">(N8+L8)-(I8+J8+K8+M8)</f>
        <v>-7197.487190219992</v>
      </c>
      <c r="Q8" s="1">
        <v>2026</v>
      </c>
      <c r="R8">
        <f t="shared" ref="R8:R33" si="3">SUM(I8,J8,K8,M8)</f>
        <v>14458.506010219991</v>
      </c>
      <c r="S8">
        <f t="shared" ref="S8:S33" si="4">SUM(L8,N8)</f>
        <v>7261.0188199999993</v>
      </c>
      <c r="U8" s="123">
        <f t="shared" ref="U8:U33" si="5">(W8+V8)*0.175</f>
        <v>82533.222787564999</v>
      </c>
      <c r="V8">
        <f t="shared" ref="V8:V33" si="6">R8-S8</f>
        <v>7197.487190219992</v>
      </c>
      <c r="W8" s="123">
        <f t="shared" ref="W8:W33" si="7">F8-G8</f>
        <v>464420.92873872293</v>
      </c>
      <c r="X8" s="123">
        <f t="shared" ref="X8:X33" si="8">W8+V8-U8</f>
        <v>389085.19314137788</v>
      </c>
    </row>
    <row r="9" spans="1:24" x14ac:dyDescent="0.2">
      <c r="A9" s="1">
        <v>2027</v>
      </c>
      <c r="B9">
        <v>36.879466063248998</v>
      </c>
      <c r="C9">
        <v>28.961326793124901</v>
      </c>
      <c r="D9">
        <f t="shared" si="0"/>
        <v>7.9181392701240974</v>
      </c>
      <c r="F9" s="4">
        <f t="shared" si="1"/>
        <v>528403.82729294803</v>
      </c>
      <c r="G9">
        <f>SQRT('Sampling &amp; Combined Error'!$E$14)*$B$2*44/12</f>
        <v>39079.761084041042</v>
      </c>
      <c r="H9" s="123"/>
      <c r="I9">
        <v>217.375</v>
      </c>
      <c r="J9">
        <v>379.66660000000002</v>
      </c>
      <c r="K9">
        <v>1554.49771021999</v>
      </c>
      <c r="L9">
        <v>1107.5355199999999</v>
      </c>
      <c r="M9">
        <v>12306.966700000001</v>
      </c>
      <c r="N9">
        <v>6153.4832999999999</v>
      </c>
      <c r="O9">
        <f t="shared" si="2"/>
        <v>-7197.487190219992</v>
      </c>
      <c r="Q9" s="1">
        <v>2027</v>
      </c>
      <c r="R9">
        <f t="shared" si="3"/>
        <v>14458.506010219991</v>
      </c>
      <c r="S9">
        <f t="shared" si="4"/>
        <v>7261.0188199999993</v>
      </c>
      <c r="U9" s="123">
        <f t="shared" si="5"/>
        <v>86891.271844847215</v>
      </c>
      <c r="V9">
        <f t="shared" si="6"/>
        <v>7197.487190219992</v>
      </c>
      <c r="W9" s="123">
        <f t="shared" si="7"/>
        <v>489324.066208907</v>
      </c>
      <c r="X9" s="123">
        <f t="shared" si="8"/>
        <v>409630.28155427973</v>
      </c>
    </row>
    <row r="10" spans="1:24" x14ac:dyDescent="0.2">
      <c r="A10" s="1">
        <v>2028</v>
      </c>
      <c r="B10">
        <v>36.879465138969799</v>
      </c>
      <c r="C10">
        <v>28.955400076170299</v>
      </c>
      <c r="D10">
        <f t="shared" si="0"/>
        <v>7.9240650627994995</v>
      </c>
      <c r="F10" s="4">
        <f t="shared" si="1"/>
        <v>528799.27519081987</v>
      </c>
      <c r="G10">
        <f>SQRT('Sampling &amp; Combined Error'!$E$14)*$B$2*44/12</f>
        <v>39079.761084041042</v>
      </c>
      <c r="H10" s="123"/>
      <c r="I10">
        <v>217.375</v>
      </c>
      <c r="J10">
        <v>379.66660000000002</v>
      </c>
      <c r="K10">
        <v>1554.49771021999</v>
      </c>
      <c r="L10">
        <v>1107.5355199999999</v>
      </c>
      <c r="M10">
        <v>12306.966700000001</v>
      </c>
      <c r="N10">
        <v>6153.4832999999999</v>
      </c>
      <c r="O10">
        <f t="shared" si="2"/>
        <v>-7197.487190219992</v>
      </c>
      <c r="Q10" s="1">
        <v>2028</v>
      </c>
      <c r="R10">
        <f t="shared" si="3"/>
        <v>14458.506010219991</v>
      </c>
      <c r="S10">
        <f t="shared" si="4"/>
        <v>7261.0188199999993</v>
      </c>
      <c r="U10" s="123">
        <f t="shared" si="5"/>
        <v>86960.475226974784</v>
      </c>
      <c r="V10">
        <f t="shared" si="6"/>
        <v>7197.487190219992</v>
      </c>
      <c r="W10" s="123">
        <f t="shared" si="7"/>
        <v>489719.51410677884</v>
      </c>
      <c r="X10" s="123">
        <f t="shared" si="8"/>
        <v>409956.526070024</v>
      </c>
    </row>
    <row r="11" spans="1:24" x14ac:dyDescent="0.2">
      <c r="A11" s="1">
        <v>2029</v>
      </c>
      <c r="B11">
        <v>36.879464232160998</v>
      </c>
      <c r="C11">
        <v>28.951245560448001</v>
      </c>
      <c r="D11">
        <f t="shared" si="0"/>
        <v>7.9282186717129974</v>
      </c>
      <c r="F11" s="4">
        <f t="shared" si="1"/>
        <v>529076.45935898076</v>
      </c>
      <c r="G11">
        <f>SQRT('Sampling &amp; Combined Error'!$E$14)*$B$2*44/12</f>
        <v>39079.761084041042</v>
      </c>
      <c r="H11" s="123"/>
      <c r="I11">
        <v>217.375</v>
      </c>
      <c r="J11">
        <v>379.66660000000002</v>
      </c>
      <c r="K11">
        <v>1554.49771021999</v>
      </c>
      <c r="L11">
        <v>1107.5355199999999</v>
      </c>
      <c r="M11">
        <v>12306.966700000001</v>
      </c>
      <c r="N11">
        <v>6153.4832999999999</v>
      </c>
      <c r="O11">
        <f t="shared" si="2"/>
        <v>-7197.487190219992</v>
      </c>
      <c r="Q11" s="1">
        <v>2029</v>
      </c>
      <c r="R11">
        <f t="shared" si="3"/>
        <v>14458.506010219991</v>
      </c>
      <c r="S11">
        <f t="shared" si="4"/>
        <v>7261.0188199999993</v>
      </c>
      <c r="U11" s="123">
        <f t="shared" si="5"/>
        <v>87008.98245640294</v>
      </c>
      <c r="V11">
        <f t="shared" si="6"/>
        <v>7197.487190219992</v>
      </c>
      <c r="W11" s="123">
        <f t="shared" si="7"/>
        <v>489996.69827493973</v>
      </c>
      <c r="X11" s="123">
        <f t="shared" si="8"/>
        <v>410185.20300875674</v>
      </c>
    </row>
    <row r="12" spans="1:24" x14ac:dyDescent="0.2">
      <c r="A12" s="1">
        <v>2030</v>
      </c>
      <c r="B12">
        <v>36.8794633424925</v>
      </c>
      <c r="C12">
        <v>28.948308913353099</v>
      </c>
      <c r="D12">
        <f t="shared" si="0"/>
        <v>7.9311544291394007</v>
      </c>
      <c r="F12" s="4">
        <f t="shared" si="1"/>
        <v>529272.37223790272</v>
      </c>
      <c r="G12">
        <f>SQRT('Sampling &amp; Combined Error'!$E$14)*$B$2*44/12</f>
        <v>39079.761084041042</v>
      </c>
      <c r="H12" s="123"/>
      <c r="I12">
        <v>217.375</v>
      </c>
      <c r="J12">
        <v>379.66660000000002</v>
      </c>
      <c r="K12">
        <v>1554.49771021999</v>
      </c>
      <c r="L12">
        <v>1107.5355199999999</v>
      </c>
      <c r="M12">
        <v>12306.966700000001</v>
      </c>
      <c r="N12">
        <v>6153.4832999999999</v>
      </c>
      <c r="O12">
        <f t="shared" si="2"/>
        <v>-7197.487190219992</v>
      </c>
      <c r="Q12" s="1">
        <v>2030</v>
      </c>
      <c r="R12">
        <f t="shared" si="3"/>
        <v>14458.506010219991</v>
      </c>
      <c r="S12">
        <f t="shared" si="4"/>
        <v>7261.0188199999993</v>
      </c>
      <c r="U12" s="123">
        <f t="shared" si="5"/>
        <v>87043.267210214282</v>
      </c>
      <c r="V12">
        <f t="shared" si="6"/>
        <v>7197.487190219992</v>
      </c>
      <c r="W12" s="123">
        <f t="shared" si="7"/>
        <v>490192.61115386168</v>
      </c>
      <c r="X12" s="123">
        <f t="shared" si="8"/>
        <v>410346.83113386738</v>
      </c>
    </row>
    <row r="13" spans="1:24" x14ac:dyDescent="0.2">
      <c r="A13" s="1">
        <v>2031</v>
      </c>
      <c r="B13">
        <v>36.879462469640103</v>
      </c>
      <c r="C13">
        <v>28.946221403616299</v>
      </c>
      <c r="D13">
        <f t="shared" si="0"/>
        <v>7.933241066023804</v>
      </c>
      <c r="F13" s="4">
        <f t="shared" si="1"/>
        <v>529411.62047265517</v>
      </c>
      <c r="G13">
        <f>SQRT('Sampling &amp; Combined Error'!$E$14)*$B$2*44/12</f>
        <v>39079.761084041042</v>
      </c>
      <c r="H13" s="123"/>
      <c r="I13">
        <v>217.375</v>
      </c>
      <c r="J13">
        <v>379.66660000000002</v>
      </c>
      <c r="K13">
        <v>1554.49771021999</v>
      </c>
      <c r="L13">
        <v>1107.5355199999999</v>
      </c>
      <c r="M13">
        <v>12306.966700000001</v>
      </c>
      <c r="N13">
        <v>6153.4832999999999</v>
      </c>
      <c r="O13">
        <f t="shared" si="2"/>
        <v>-7197.487190219992</v>
      </c>
      <c r="Q13" s="1">
        <v>2031</v>
      </c>
      <c r="R13">
        <f t="shared" si="3"/>
        <v>14458.506010219991</v>
      </c>
      <c r="S13">
        <f t="shared" si="4"/>
        <v>7261.0188199999993</v>
      </c>
      <c r="U13" s="123">
        <f t="shared" si="5"/>
        <v>87067.635651295961</v>
      </c>
      <c r="V13">
        <f t="shared" si="6"/>
        <v>7197.487190219992</v>
      </c>
      <c r="W13" s="123">
        <f t="shared" si="7"/>
        <v>490331.85938861413</v>
      </c>
      <c r="X13" s="123">
        <f t="shared" si="8"/>
        <v>410461.71092753817</v>
      </c>
    </row>
    <row r="14" spans="1:24" x14ac:dyDescent="0.2">
      <c r="A14" s="1">
        <v>2032</v>
      </c>
      <c r="B14">
        <v>36.879461613286097</v>
      </c>
      <c r="C14">
        <v>28.944730915749201</v>
      </c>
      <c r="D14">
        <f t="shared" si="0"/>
        <v>7.9347306975368959</v>
      </c>
      <c r="F14" s="4">
        <f t="shared" si="1"/>
        <v>529511.0285489622</v>
      </c>
      <c r="G14">
        <f>SQRT('Sampling &amp; Combined Error'!$E$14)*$B$2*44/12</f>
        <v>39079.761084041042</v>
      </c>
      <c r="H14" s="123"/>
      <c r="I14">
        <v>217.375</v>
      </c>
      <c r="J14">
        <v>379.66660000000002</v>
      </c>
      <c r="K14">
        <v>1554.49771021999</v>
      </c>
      <c r="L14">
        <v>1107.5355199999999</v>
      </c>
      <c r="M14">
        <v>12306.966700000001</v>
      </c>
      <c r="N14">
        <v>6153.4832999999999</v>
      </c>
      <c r="O14">
        <f t="shared" si="2"/>
        <v>-7197.487190219992</v>
      </c>
      <c r="Q14" s="1">
        <v>2032</v>
      </c>
      <c r="R14">
        <f t="shared" si="3"/>
        <v>14458.506010219991</v>
      </c>
      <c r="S14">
        <f t="shared" si="4"/>
        <v>7261.0188199999993</v>
      </c>
      <c r="U14" s="123">
        <f t="shared" si="5"/>
        <v>87085.032064649698</v>
      </c>
      <c r="V14">
        <f t="shared" si="6"/>
        <v>7197.487190219992</v>
      </c>
      <c r="W14" s="123">
        <f t="shared" si="7"/>
        <v>490431.26746492117</v>
      </c>
      <c r="X14" s="123">
        <f t="shared" si="8"/>
        <v>410543.72259049147</v>
      </c>
    </row>
    <row r="15" spans="1:24" x14ac:dyDescent="0.2">
      <c r="A15" s="1">
        <v>2033</v>
      </c>
      <c r="B15">
        <v>36.879460773118701</v>
      </c>
      <c r="C15">
        <v>28.943662883495399</v>
      </c>
      <c r="D15">
        <f t="shared" si="0"/>
        <v>7.9357978896233021</v>
      </c>
      <c r="F15" s="4">
        <f t="shared" si="1"/>
        <v>529582.24583419494</v>
      </c>
      <c r="G15">
        <f>SQRT('Sampling &amp; Combined Error'!$E$14)*$B$2*44/12</f>
        <v>39079.761084041042</v>
      </c>
      <c r="H15" s="123"/>
      <c r="I15">
        <v>217.375</v>
      </c>
      <c r="J15">
        <v>379.66660000000002</v>
      </c>
      <c r="K15">
        <v>1554.49771021999</v>
      </c>
      <c r="L15">
        <v>1107.5355199999999</v>
      </c>
      <c r="M15">
        <v>12306.966700000001</v>
      </c>
      <c r="N15">
        <v>6153.4832999999999</v>
      </c>
      <c r="O15">
        <f t="shared" si="2"/>
        <v>-7197.487190219992</v>
      </c>
      <c r="Q15" s="1">
        <v>2033</v>
      </c>
      <c r="R15">
        <f t="shared" si="3"/>
        <v>14458.506010219991</v>
      </c>
      <c r="S15">
        <f t="shared" si="4"/>
        <v>7261.0188199999993</v>
      </c>
      <c r="U15" s="123">
        <f t="shared" si="5"/>
        <v>87097.495089565418</v>
      </c>
      <c r="V15">
        <f t="shared" si="6"/>
        <v>7197.487190219992</v>
      </c>
      <c r="W15" s="123">
        <f t="shared" si="7"/>
        <v>490502.4847501539</v>
      </c>
      <c r="X15" s="123">
        <f t="shared" si="8"/>
        <v>410602.47685080848</v>
      </c>
    </row>
    <row r="16" spans="1:24" x14ac:dyDescent="0.2">
      <c r="A16" s="1">
        <v>2034</v>
      </c>
      <c r="B16">
        <v>36.879459948831801</v>
      </c>
      <c r="C16">
        <v>28.9428952323752</v>
      </c>
      <c r="D16">
        <f t="shared" si="0"/>
        <v>7.9365647164566013</v>
      </c>
      <c r="F16" s="4">
        <f t="shared" si="1"/>
        <v>529633.41874487046</v>
      </c>
      <c r="G16">
        <f>SQRT('Sampling &amp; Combined Error'!$E$14)*$B$2*44/12</f>
        <v>39079.761084041042</v>
      </c>
      <c r="H16" s="123"/>
      <c r="I16">
        <v>217.375</v>
      </c>
      <c r="J16">
        <v>379.66660000000002</v>
      </c>
      <c r="K16">
        <v>1554.49771021999</v>
      </c>
      <c r="L16">
        <v>1107.5355199999999</v>
      </c>
      <c r="M16">
        <v>12306.966700000001</v>
      </c>
      <c r="N16">
        <v>6153.4832999999999</v>
      </c>
      <c r="O16">
        <f t="shared" si="2"/>
        <v>-7197.487190219992</v>
      </c>
      <c r="Q16" s="1">
        <v>2034</v>
      </c>
      <c r="R16">
        <f t="shared" si="3"/>
        <v>14458.506010219991</v>
      </c>
      <c r="S16">
        <f t="shared" si="4"/>
        <v>7261.0188199999993</v>
      </c>
      <c r="U16" s="123">
        <f t="shared" si="5"/>
        <v>87106.450348933635</v>
      </c>
      <c r="V16">
        <f t="shared" si="6"/>
        <v>7197.487190219992</v>
      </c>
      <c r="W16" s="123">
        <f t="shared" si="7"/>
        <v>490553.65766082943</v>
      </c>
      <c r="X16" s="123">
        <f t="shared" si="8"/>
        <v>410644.69450211577</v>
      </c>
    </row>
    <row r="17" spans="1:24" x14ac:dyDescent="0.2">
      <c r="A17" s="1">
        <v>2035</v>
      </c>
      <c r="B17">
        <v>36.879459140125299</v>
      </c>
      <c r="C17">
        <v>28.942341940656998</v>
      </c>
      <c r="D17">
        <f t="shared" si="0"/>
        <v>7.9371171994683003</v>
      </c>
      <c r="F17" s="4">
        <f t="shared" si="1"/>
        <v>529670.28777785122</v>
      </c>
      <c r="G17">
        <f>SQRT('Sampling &amp; Combined Error'!$E$14)*$B$2*44/12</f>
        <v>39079.761084041042</v>
      </c>
      <c r="H17" s="123"/>
      <c r="I17">
        <v>217.375</v>
      </c>
      <c r="J17">
        <v>379.66660000000002</v>
      </c>
      <c r="K17">
        <v>1554.49771021999</v>
      </c>
      <c r="L17">
        <v>1107.5355199999999</v>
      </c>
      <c r="M17">
        <v>12306.966700000001</v>
      </c>
      <c r="N17">
        <v>6153.4832999999999</v>
      </c>
      <c r="O17">
        <f t="shared" si="2"/>
        <v>-7197.487190219992</v>
      </c>
      <c r="Q17" s="1">
        <v>2035</v>
      </c>
      <c r="R17">
        <f t="shared" si="3"/>
        <v>14458.506010219991</v>
      </c>
      <c r="S17">
        <f t="shared" si="4"/>
        <v>7261.0188199999993</v>
      </c>
      <c r="U17" s="123">
        <f t="shared" si="5"/>
        <v>87112.902429705267</v>
      </c>
      <c r="V17">
        <f t="shared" si="6"/>
        <v>7197.487190219992</v>
      </c>
      <c r="W17" s="123">
        <f t="shared" si="7"/>
        <v>490590.52669381018</v>
      </c>
      <c r="X17" s="123">
        <f t="shared" si="8"/>
        <v>410675.11145432491</v>
      </c>
    </row>
    <row r="18" spans="1:24" x14ac:dyDescent="0.2">
      <c r="A18">
        <v>2036</v>
      </c>
      <c r="B18">
        <v>36.879458346704702</v>
      </c>
      <c r="C18">
        <v>28.941942038985399</v>
      </c>
      <c r="D18">
        <f t="shared" si="0"/>
        <v>7.9375163077193029</v>
      </c>
      <c r="F18" s="4">
        <f t="shared" si="1"/>
        <v>529696.92160180153</v>
      </c>
      <c r="G18">
        <f>SQRT('Sampling &amp; Combined Error'!$E$14)*$B$2*44/12</f>
        <v>39079.761084041042</v>
      </c>
      <c r="H18" s="123"/>
      <c r="I18">
        <v>217.375</v>
      </c>
      <c r="J18">
        <v>379.66660000000002</v>
      </c>
      <c r="K18">
        <v>1554.49771021999</v>
      </c>
      <c r="L18">
        <v>1107.5355199999999</v>
      </c>
      <c r="M18">
        <v>12306.966700000001</v>
      </c>
      <c r="N18">
        <v>6153.4832999999999</v>
      </c>
      <c r="O18">
        <f t="shared" si="2"/>
        <v>-7197.487190219992</v>
      </c>
      <c r="Q18" s="1">
        <v>2036</v>
      </c>
      <c r="R18">
        <f t="shared" si="3"/>
        <v>14458.506010219991</v>
      </c>
      <c r="S18">
        <f t="shared" si="4"/>
        <v>7261.0188199999993</v>
      </c>
      <c r="U18" s="123">
        <f t="shared" si="5"/>
        <v>87117.563348896583</v>
      </c>
      <c r="V18">
        <f t="shared" si="6"/>
        <v>7197.487190219992</v>
      </c>
      <c r="W18" s="123">
        <f t="shared" si="7"/>
        <v>490617.16051776049</v>
      </c>
      <c r="X18" s="123">
        <f t="shared" si="8"/>
        <v>410697.08435908391</v>
      </c>
    </row>
    <row r="19" spans="1:24" x14ac:dyDescent="0.2">
      <c r="A19">
        <v>2037</v>
      </c>
      <c r="B19">
        <v>36.879457568281097</v>
      </c>
      <c r="C19">
        <v>28.9416521256558</v>
      </c>
      <c r="D19">
        <f t="shared" ref="D19:D47" si="9">B19-C19</f>
        <v>7.9378054426252973</v>
      </c>
      <c r="F19" s="4">
        <f t="shared" ref="F19:F47" si="10">D19*$B$2*44/12</f>
        <v>529716.2165378615</v>
      </c>
      <c r="G19">
        <f>SQRT('Sampling &amp; Combined Error'!$E$14)*$B$2*44/12</f>
        <v>39079.761084041042</v>
      </c>
      <c r="H19" s="123"/>
      <c r="I19">
        <v>217.375</v>
      </c>
      <c r="J19">
        <v>379.66660000000002</v>
      </c>
      <c r="K19">
        <v>1554.49771021999</v>
      </c>
      <c r="L19">
        <v>1107.5355199999999</v>
      </c>
      <c r="M19">
        <v>12306.966700000001</v>
      </c>
      <c r="N19">
        <v>6153.4832999999999</v>
      </c>
      <c r="O19">
        <f t="shared" ref="O19:O47" si="11">(N19+L19)-(I19+J19+K19+M19)</f>
        <v>-7197.487190219992</v>
      </c>
      <c r="Q19" s="1">
        <v>2037</v>
      </c>
      <c r="R19">
        <f t="shared" si="3"/>
        <v>14458.506010219991</v>
      </c>
      <c r="S19">
        <f t="shared" si="4"/>
        <v>7261.0188199999993</v>
      </c>
      <c r="U19" s="123">
        <f t="shared" si="5"/>
        <v>87120.939962707067</v>
      </c>
      <c r="V19">
        <f t="shared" si="6"/>
        <v>7197.487190219992</v>
      </c>
      <c r="W19" s="123">
        <f t="shared" si="7"/>
        <v>490636.45545382047</v>
      </c>
      <c r="X19" s="123">
        <f t="shared" si="8"/>
        <v>410713.0026813334</v>
      </c>
    </row>
    <row r="20" spans="1:24" x14ac:dyDescent="0.2">
      <c r="A20">
        <v>2038</v>
      </c>
      <c r="B20">
        <v>36.879456804570999</v>
      </c>
      <c r="C20">
        <v>28.941441204343501</v>
      </c>
      <c r="D20">
        <f t="shared" si="9"/>
        <v>7.938015600227498</v>
      </c>
      <c r="F20" s="4">
        <f t="shared" si="10"/>
        <v>529730.2410551816</v>
      </c>
      <c r="G20">
        <f>SQRT('Sampling &amp; Combined Error'!$E$14)*$B$2*44/12</f>
        <v>39079.761084041042</v>
      </c>
      <c r="H20" s="123"/>
      <c r="I20">
        <v>217.375</v>
      </c>
      <c r="J20">
        <v>379.66660000000002</v>
      </c>
      <c r="K20">
        <v>1554.49771021999</v>
      </c>
      <c r="L20">
        <v>1107.5355199999999</v>
      </c>
      <c r="M20">
        <v>12306.966700000001</v>
      </c>
      <c r="N20">
        <v>6153.4832999999999</v>
      </c>
      <c r="O20">
        <f t="shared" si="11"/>
        <v>-7197.487190219992</v>
      </c>
      <c r="Q20" s="1">
        <v>2038</v>
      </c>
      <c r="R20">
        <f t="shared" si="3"/>
        <v>14458.506010219991</v>
      </c>
      <c r="S20">
        <f t="shared" si="4"/>
        <v>7261.0188199999993</v>
      </c>
      <c r="U20" s="123">
        <f t="shared" si="5"/>
        <v>87123.39425323809</v>
      </c>
      <c r="V20">
        <f t="shared" si="6"/>
        <v>7197.487190219992</v>
      </c>
      <c r="W20" s="123">
        <f t="shared" si="7"/>
        <v>490650.47997114056</v>
      </c>
      <c r="X20" s="123">
        <f t="shared" si="8"/>
        <v>410724.57290812244</v>
      </c>
    </row>
    <row r="21" spans="1:24" x14ac:dyDescent="0.2">
      <c r="A21">
        <v>2039</v>
      </c>
      <c r="B21">
        <v>36.879456055296302</v>
      </c>
      <c r="C21">
        <v>28.941287085116201</v>
      </c>
      <c r="D21">
        <f t="shared" si="9"/>
        <v>7.9381689701801008</v>
      </c>
      <c r="F21" s="4">
        <f t="shared" si="10"/>
        <v>529740.47594335198</v>
      </c>
      <c r="G21">
        <f>SQRT('Sampling &amp; Combined Error'!$E$14)*$B$2*44/12</f>
        <v>39079.761084041042</v>
      </c>
      <c r="H21" s="123"/>
      <c r="I21">
        <v>217.375</v>
      </c>
      <c r="J21">
        <v>379.66660000000002</v>
      </c>
      <c r="K21">
        <v>1554.49771021999</v>
      </c>
      <c r="L21">
        <v>1107.5355199999999</v>
      </c>
      <c r="M21">
        <v>12306.966700000001</v>
      </c>
      <c r="N21">
        <v>6153.4832999999999</v>
      </c>
      <c r="O21">
        <f t="shared" si="11"/>
        <v>-7197.487190219992</v>
      </c>
      <c r="Q21" s="1">
        <v>2039</v>
      </c>
      <c r="R21">
        <f t="shared" si="3"/>
        <v>14458.506010219991</v>
      </c>
      <c r="S21">
        <f t="shared" si="4"/>
        <v>7261.0188199999993</v>
      </c>
      <c r="U21" s="123">
        <f t="shared" si="5"/>
        <v>87125.185358667906</v>
      </c>
      <c r="V21">
        <f t="shared" si="6"/>
        <v>7197.487190219992</v>
      </c>
      <c r="W21" s="123">
        <f t="shared" si="7"/>
        <v>490660.71485931095</v>
      </c>
      <c r="X21" s="123">
        <f t="shared" si="8"/>
        <v>410733.01669086301</v>
      </c>
    </row>
    <row r="22" spans="1:24" x14ac:dyDescent="0.2">
      <c r="A22">
        <v>2040</v>
      </c>
      <c r="B22">
        <v>36.8794553201841</v>
      </c>
      <c r="C22">
        <v>28.941173854285498</v>
      </c>
      <c r="D22">
        <f t="shared" si="9"/>
        <v>7.9382814658986014</v>
      </c>
      <c r="F22" s="4">
        <f t="shared" si="10"/>
        <v>529747.98315763334</v>
      </c>
      <c r="G22">
        <f>SQRT('Sampling &amp; Combined Error'!$E$14)*$B$2*44/12</f>
        <v>39079.761084041042</v>
      </c>
      <c r="H22" s="123"/>
      <c r="I22">
        <v>217.375</v>
      </c>
      <c r="J22">
        <v>379.66660000000002</v>
      </c>
      <c r="K22">
        <v>1554.49771021999</v>
      </c>
      <c r="L22">
        <v>1107.5355199999999</v>
      </c>
      <c r="M22">
        <v>12306.966700000001</v>
      </c>
      <c r="N22">
        <v>6153.4832999999999</v>
      </c>
      <c r="O22">
        <f t="shared" si="11"/>
        <v>-7197.487190219992</v>
      </c>
      <c r="Q22" s="1">
        <v>2040</v>
      </c>
      <c r="R22">
        <f t="shared" si="3"/>
        <v>14458.506010219991</v>
      </c>
      <c r="S22">
        <f t="shared" si="4"/>
        <v>7261.0188199999993</v>
      </c>
      <c r="U22" s="123">
        <f t="shared" si="5"/>
        <v>87126.499121167144</v>
      </c>
      <c r="V22">
        <f t="shared" si="6"/>
        <v>7197.487190219992</v>
      </c>
      <c r="W22" s="123">
        <f t="shared" si="7"/>
        <v>490668.2220735923</v>
      </c>
      <c r="X22" s="123">
        <f t="shared" si="8"/>
        <v>410739.21014264517</v>
      </c>
    </row>
    <row r="23" spans="1:24" x14ac:dyDescent="0.2">
      <c r="A23">
        <v>2041</v>
      </c>
      <c r="B23">
        <v>36.879454598966802</v>
      </c>
      <c r="C23">
        <v>28.9410900843063</v>
      </c>
      <c r="D23">
        <f t="shared" si="9"/>
        <v>7.9383645146605026</v>
      </c>
      <c r="F23" s="4">
        <f t="shared" si="10"/>
        <v>529753.52527834417</v>
      </c>
      <c r="G23">
        <f>SQRT('Sampling &amp; Combined Error'!$E$14)*$B$2*44/12</f>
        <v>39079.761084041042</v>
      </c>
      <c r="H23" s="123"/>
      <c r="I23">
        <v>217.375</v>
      </c>
      <c r="J23">
        <v>379.66660000000002</v>
      </c>
      <c r="K23">
        <v>1554.49771021999</v>
      </c>
      <c r="L23">
        <v>1107.5355199999999</v>
      </c>
      <c r="M23">
        <v>12306.966700000001</v>
      </c>
      <c r="N23">
        <v>6153.4832999999999</v>
      </c>
      <c r="O23">
        <f t="shared" si="11"/>
        <v>-7197.487190219992</v>
      </c>
      <c r="Q23" s="1">
        <v>2041</v>
      </c>
      <c r="R23">
        <f t="shared" si="3"/>
        <v>14458.506010219991</v>
      </c>
      <c r="S23">
        <f t="shared" si="4"/>
        <v>7261.0188199999993</v>
      </c>
      <c r="U23" s="123">
        <f t="shared" si="5"/>
        <v>87127.468992291542</v>
      </c>
      <c r="V23">
        <f t="shared" si="6"/>
        <v>7197.487190219992</v>
      </c>
      <c r="W23" s="123">
        <f t="shared" si="7"/>
        <v>490673.76419430313</v>
      </c>
      <c r="X23" s="123">
        <f t="shared" si="8"/>
        <v>410743.78239223157</v>
      </c>
    </row>
    <row r="24" spans="1:24" x14ac:dyDescent="0.2">
      <c r="A24">
        <v>2042</v>
      </c>
      <c r="B24">
        <v>36.879453891381701</v>
      </c>
      <c r="C24">
        <v>28.9410275611773</v>
      </c>
      <c r="D24">
        <f t="shared" si="9"/>
        <v>7.9384263302044005</v>
      </c>
      <c r="F24" s="4">
        <f t="shared" si="10"/>
        <v>529757.65043564024</v>
      </c>
      <c r="G24">
        <f>SQRT('Sampling &amp; Combined Error'!$E$14)*$B$2*44/12</f>
        <v>39079.761084041042</v>
      </c>
      <c r="H24" s="123"/>
      <c r="I24">
        <v>217.375</v>
      </c>
      <c r="J24">
        <v>379.66660000000002</v>
      </c>
      <c r="K24">
        <v>1554.49771021999</v>
      </c>
      <c r="L24">
        <v>1107.5355199999999</v>
      </c>
      <c r="M24">
        <v>12306.966700000001</v>
      </c>
      <c r="N24">
        <v>6153.4832999999999</v>
      </c>
      <c r="O24">
        <f t="shared" si="11"/>
        <v>-7197.487190219992</v>
      </c>
      <c r="Q24" s="1">
        <v>2042</v>
      </c>
      <c r="R24">
        <f t="shared" si="3"/>
        <v>14458.506010219991</v>
      </c>
      <c r="S24">
        <f t="shared" si="4"/>
        <v>7261.0188199999993</v>
      </c>
      <c r="U24" s="123">
        <f t="shared" si="5"/>
        <v>87128.190894818355</v>
      </c>
      <c r="V24">
        <f t="shared" si="6"/>
        <v>7197.487190219992</v>
      </c>
      <c r="W24" s="123">
        <f t="shared" si="7"/>
        <v>490677.88935159921</v>
      </c>
      <c r="X24" s="123">
        <f t="shared" si="8"/>
        <v>410747.18564700085</v>
      </c>
    </row>
    <row r="25" spans="1:24" x14ac:dyDescent="0.2">
      <c r="A25">
        <v>2043</v>
      </c>
      <c r="B25">
        <v>36.879453197171102</v>
      </c>
      <c r="C25">
        <v>28.9409803764987</v>
      </c>
      <c r="D25">
        <f t="shared" si="9"/>
        <v>7.938472820672402</v>
      </c>
      <c r="F25" s="4">
        <f t="shared" si="10"/>
        <v>529760.75289953826</v>
      </c>
      <c r="G25">
        <f>SQRT('Sampling &amp; Combined Error'!$E$14)*$B$2*44/12</f>
        <v>39079.761084041042</v>
      </c>
      <c r="H25" s="123"/>
      <c r="I25">
        <v>217.375</v>
      </c>
      <c r="J25">
        <v>379.66660000000002</v>
      </c>
      <c r="K25">
        <v>1554.49771021999</v>
      </c>
      <c r="L25">
        <v>1107.5355199999999</v>
      </c>
      <c r="M25">
        <v>12306.966700000001</v>
      </c>
      <c r="N25">
        <v>6153.4832999999999</v>
      </c>
      <c r="O25">
        <f t="shared" si="11"/>
        <v>-7197.487190219992</v>
      </c>
      <c r="Q25" s="1">
        <v>2043</v>
      </c>
      <c r="R25">
        <f t="shared" si="3"/>
        <v>14458.506010219991</v>
      </c>
      <c r="S25">
        <f t="shared" si="4"/>
        <v>7261.0188199999993</v>
      </c>
      <c r="U25" s="123">
        <f t="shared" si="5"/>
        <v>87128.733826000505</v>
      </c>
      <c r="V25">
        <f t="shared" si="6"/>
        <v>7197.487190219992</v>
      </c>
      <c r="W25" s="123">
        <f t="shared" si="7"/>
        <v>490680.99181549723</v>
      </c>
      <c r="X25" s="123">
        <f t="shared" si="8"/>
        <v>410749.74517971673</v>
      </c>
    </row>
    <row r="26" spans="1:24" x14ac:dyDescent="0.2">
      <c r="A26">
        <v>2044</v>
      </c>
      <c r="B26">
        <v>36.879452516082303</v>
      </c>
      <c r="C26">
        <v>28.9409442779796</v>
      </c>
      <c r="D26">
        <f t="shared" si="9"/>
        <v>7.9385082381027026</v>
      </c>
      <c r="F26" s="4">
        <f t="shared" si="10"/>
        <v>529763.11642272037</v>
      </c>
      <c r="G26">
        <f>SQRT('Sampling &amp; Combined Error'!$E$14)*$B$2*44/12</f>
        <v>39079.761084041042</v>
      </c>
      <c r="H26" s="123"/>
      <c r="I26">
        <v>217.375</v>
      </c>
      <c r="J26">
        <v>379.66660000000002</v>
      </c>
      <c r="K26">
        <v>1554.49771021999</v>
      </c>
      <c r="L26">
        <v>1107.5355199999999</v>
      </c>
      <c r="M26">
        <v>12306.966700000001</v>
      </c>
      <c r="N26">
        <v>6153.4832999999999</v>
      </c>
      <c r="O26">
        <f t="shared" si="11"/>
        <v>-7197.487190219992</v>
      </c>
      <c r="Q26" s="1">
        <v>2044</v>
      </c>
      <c r="R26">
        <f t="shared" si="3"/>
        <v>14458.506010219991</v>
      </c>
      <c r="S26">
        <f t="shared" si="4"/>
        <v>7261.0188199999993</v>
      </c>
      <c r="U26" s="123">
        <f t="shared" si="5"/>
        <v>87129.147442557369</v>
      </c>
      <c r="V26">
        <f t="shared" si="6"/>
        <v>7197.487190219992</v>
      </c>
      <c r="W26" s="123">
        <f t="shared" si="7"/>
        <v>490683.35533867934</v>
      </c>
      <c r="X26" s="123">
        <f t="shared" si="8"/>
        <v>410751.69508634193</v>
      </c>
    </row>
    <row r="27" spans="1:24" x14ac:dyDescent="0.2">
      <c r="A27">
        <v>2045</v>
      </c>
      <c r="B27">
        <v>36.879451847867202</v>
      </c>
      <c r="C27">
        <v>28.940916203919301</v>
      </c>
      <c r="D27">
        <f t="shared" si="9"/>
        <v>7.9385356439479011</v>
      </c>
      <c r="F27" s="4">
        <f t="shared" si="10"/>
        <v>529764.94530612335</v>
      </c>
      <c r="G27">
        <f>SQRT('Sampling &amp; Combined Error'!$E$14)*$B$2*44/12</f>
        <v>39079.761084041042</v>
      </c>
      <c r="H27" s="123"/>
      <c r="I27">
        <v>217.375</v>
      </c>
      <c r="J27">
        <v>379.66660000000002</v>
      </c>
      <c r="K27">
        <v>1554.49771021999</v>
      </c>
      <c r="L27">
        <v>1107.5355199999999</v>
      </c>
      <c r="M27">
        <v>12306.966700000001</v>
      </c>
      <c r="N27">
        <v>6153.4832999999999</v>
      </c>
      <c r="O27">
        <f t="shared" si="11"/>
        <v>-7197.487190219992</v>
      </c>
      <c r="Q27" s="1">
        <v>2045</v>
      </c>
      <c r="R27">
        <f t="shared" si="3"/>
        <v>14458.506010219991</v>
      </c>
      <c r="S27">
        <f t="shared" si="4"/>
        <v>7261.0188199999993</v>
      </c>
      <c r="U27" s="123">
        <f t="shared" si="5"/>
        <v>87129.467497152902</v>
      </c>
      <c r="V27">
        <f t="shared" si="6"/>
        <v>7197.487190219992</v>
      </c>
      <c r="W27" s="123">
        <f t="shared" si="7"/>
        <v>490685.18422208232</v>
      </c>
      <c r="X27" s="123">
        <f t="shared" si="8"/>
        <v>410753.20391514938</v>
      </c>
    </row>
    <row r="28" spans="1:24" x14ac:dyDescent="0.2">
      <c r="A28">
        <v>2046</v>
      </c>
      <c r="B28">
        <v>36.879451192282502</v>
      </c>
      <c r="C28">
        <v>28.940893949074798</v>
      </c>
      <c r="D28">
        <f t="shared" si="9"/>
        <v>7.9385572432077041</v>
      </c>
      <c r="F28" s="4">
        <f t="shared" si="10"/>
        <v>529766.38669672748</v>
      </c>
      <c r="G28">
        <f>SQRT('Sampling &amp; Combined Error'!$E$14)*$B$2*44/12</f>
        <v>39079.761084041042</v>
      </c>
      <c r="H28" s="123"/>
      <c r="I28">
        <v>217.375</v>
      </c>
      <c r="J28">
        <v>379.66660000000002</v>
      </c>
      <c r="K28">
        <v>1554.49771021999</v>
      </c>
      <c r="L28">
        <v>1107.5355199999999</v>
      </c>
      <c r="M28">
        <v>12306.966700000001</v>
      </c>
      <c r="N28">
        <v>6153.4832999999999</v>
      </c>
      <c r="O28">
        <f t="shared" si="11"/>
        <v>-7197.487190219992</v>
      </c>
      <c r="Q28" s="1">
        <v>2046</v>
      </c>
      <c r="R28">
        <f t="shared" si="3"/>
        <v>14458.506010219991</v>
      </c>
      <c r="S28">
        <f t="shared" si="4"/>
        <v>7261.0188199999993</v>
      </c>
      <c r="U28" s="123">
        <f t="shared" si="5"/>
        <v>87129.719740508619</v>
      </c>
      <c r="V28">
        <f t="shared" si="6"/>
        <v>7197.487190219992</v>
      </c>
      <c r="W28" s="123">
        <f t="shared" si="7"/>
        <v>490686.62561268645</v>
      </c>
      <c r="X28" s="123">
        <f t="shared" si="8"/>
        <v>410754.39306239784</v>
      </c>
    </row>
    <row r="29" spans="1:24" x14ac:dyDescent="0.2">
      <c r="A29">
        <v>2047</v>
      </c>
      <c r="B29">
        <v>36.879450549089498</v>
      </c>
      <c r="C29">
        <v>28.940875924581</v>
      </c>
      <c r="D29">
        <f t="shared" si="9"/>
        <v>7.9385746245084974</v>
      </c>
      <c r="F29" s="4">
        <f t="shared" si="10"/>
        <v>529767.54660886712</v>
      </c>
      <c r="G29">
        <f>SQRT('Sampling &amp; Combined Error'!$E$14)*$B$2*44/12</f>
        <v>39079.761084041042</v>
      </c>
      <c r="H29" s="123"/>
      <c r="I29">
        <v>217.375</v>
      </c>
      <c r="J29">
        <v>379.66660000000002</v>
      </c>
      <c r="K29">
        <v>1554.49771021999</v>
      </c>
      <c r="L29">
        <v>1107.5355199999999</v>
      </c>
      <c r="M29">
        <v>12306.966700000001</v>
      </c>
      <c r="N29">
        <v>6153.4832999999999</v>
      </c>
      <c r="O29">
        <f t="shared" si="11"/>
        <v>-7197.487190219992</v>
      </c>
      <c r="Q29" s="1">
        <v>2047</v>
      </c>
      <c r="R29">
        <f t="shared" si="3"/>
        <v>14458.506010219991</v>
      </c>
      <c r="S29">
        <f t="shared" si="4"/>
        <v>7261.0188199999993</v>
      </c>
      <c r="U29" s="123">
        <f t="shared" si="5"/>
        <v>87129.922725133059</v>
      </c>
      <c r="V29">
        <f t="shared" si="6"/>
        <v>7197.487190219992</v>
      </c>
      <c r="W29" s="123">
        <f t="shared" si="7"/>
        <v>490687.78552482609</v>
      </c>
      <c r="X29" s="123">
        <f t="shared" si="8"/>
        <v>410755.349989913</v>
      </c>
    </row>
    <row r="30" spans="1:24" x14ac:dyDescent="0.2">
      <c r="A30">
        <v>2048</v>
      </c>
      <c r="B30">
        <v>36.879449918053801</v>
      </c>
      <c r="C30">
        <v>28.9408609853174</v>
      </c>
      <c r="D30">
        <f t="shared" si="9"/>
        <v>7.9385889327364012</v>
      </c>
      <c r="F30" s="4">
        <f t="shared" si="10"/>
        <v>529768.50144460914</v>
      </c>
      <c r="G30">
        <f>SQRT('Sampling &amp; Combined Error'!$E$14)*$B$2*44/12</f>
        <v>39079.761084041042</v>
      </c>
      <c r="H30" s="123"/>
      <c r="I30">
        <v>217.375</v>
      </c>
      <c r="J30">
        <v>379.66660000000002</v>
      </c>
      <c r="K30">
        <v>1554.49771021999</v>
      </c>
      <c r="L30">
        <v>1107.5355199999999</v>
      </c>
      <c r="M30">
        <v>12306.966700000001</v>
      </c>
      <c r="N30">
        <v>6153.4832999999999</v>
      </c>
      <c r="O30">
        <f t="shared" si="11"/>
        <v>-7197.487190219992</v>
      </c>
      <c r="Q30" s="1">
        <v>2048</v>
      </c>
      <c r="R30">
        <f t="shared" si="3"/>
        <v>14458.506010219991</v>
      </c>
      <c r="S30">
        <f t="shared" si="4"/>
        <v>7261.0188199999993</v>
      </c>
      <c r="U30" s="123">
        <f t="shared" si="5"/>
        <v>87130.089821387912</v>
      </c>
      <c r="V30">
        <f t="shared" si="6"/>
        <v>7197.487190219992</v>
      </c>
      <c r="W30" s="123">
        <f t="shared" si="7"/>
        <v>490688.7403605681</v>
      </c>
      <c r="X30" s="123">
        <f t="shared" si="8"/>
        <v>410756.13772940019</v>
      </c>
    </row>
    <row r="31" spans="1:24" x14ac:dyDescent="0.2">
      <c r="A31">
        <v>2049</v>
      </c>
      <c r="B31">
        <v>36.879449298945801</v>
      </c>
      <c r="C31">
        <v>28.940848305705799</v>
      </c>
      <c r="D31">
        <f t="shared" si="9"/>
        <v>7.9386009932400015</v>
      </c>
      <c r="F31" s="4">
        <f t="shared" si="10"/>
        <v>529769.3062822161</v>
      </c>
      <c r="G31">
        <f>SQRT('Sampling &amp; Combined Error'!$E$14)*$B$2*44/12</f>
        <v>39079.761084041042</v>
      </c>
      <c r="H31" s="123"/>
      <c r="I31">
        <v>217.375</v>
      </c>
      <c r="J31">
        <v>379.66660000000002</v>
      </c>
      <c r="K31">
        <v>1554.49771021999</v>
      </c>
      <c r="L31">
        <v>1107.5355199999999</v>
      </c>
      <c r="M31">
        <v>12306.966700000001</v>
      </c>
      <c r="N31">
        <v>6153.4832999999999</v>
      </c>
      <c r="O31">
        <f t="shared" si="11"/>
        <v>-7197.487190219992</v>
      </c>
      <c r="Q31" s="1">
        <v>2049</v>
      </c>
      <c r="R31">
        <f t="shared" si="3"/>
        <v>14458.506010219991</v>
      </c>
      <c r="S31">
        <f t="shared" si="4"/>
        <v>7261.0188199999993</v>
      </c>
      <c r="U31" s="123">
        <f t="shared" si="5"/>
        <v>87130.230667969125</v>
      </c>
      <c r="V31">
        <f t="shared" si="6"/>
        <v>7197.487190219992</v>
      </c>
      <c r="W31" s="123">
        <f t="shared" si="7"/>
        <v>490689.54519817507</v>
      </c>
      <c r="X31" s="123">
        <f t="shared" si="8"/>
        <v>410756.80172042595</v>
      </c>
    </row>
    <row r="32" spans="1:24" x14ac:dyDescent="0.2">
      <c r="A32">
        <v>2050</v>
      </c>
      <c r="B32">
        <v>36.879448691539999</v>
      </c>
      <c r="C32">
        <v>28.940837290314001</v>
      </c>
      <c r="D32">
        <f t="shared" si="9"/>
        <v>7.9386114012259981</v>
      </c>
      <c r="F32" s="4">
        <f t="shared" si="10"/>
        <v>529770.00084181491</v>
      </c>
      <c r="G32">
        <f>SQRT('Sampling &amp; Combined Error'!$E$14)*$B$2*44/12</f>
        <v>39079.761084041042</v>
      </c>
      <c r="H32" s="123"/>
      <c r="I32">
        <v>217.375</v>
      </c>
      <c r="J32">
        <v>379.66660000000002</v>
      </c>
      <c r="K32">
        <v>1554.49771021999</v>
      </c>
      <c r="L32">
        <v>1107.5355199999999</v>
      </c>
      <c r="M32">
        <v>12306.966700000001</v>
      </c>
      <c r="N32">
        <v>6153.4832999999999</v>
      </c>
      <c r="O32">
        <f t="shared" si="11"/>
        <v>-7197.487190219992</v>
      </c>
      <c r="Q32" s="1">
        <v>2050</v>
      </c>
      <c r="R32">
        <f t="shared" si="3"/>
        <v>14458.506010219991</v>
      </c>
      <c r="S32">
        <f t="shared" si="4"/>
        <v>7261.0188199999993</v>
      </c>
      <c r="U32" s="123">
        <f t="shared" si="5"/>
        <v>87130.352215898922</v>
      </c>
      <c r="V32">
        <f t="shared" si="6"/>
        <v>7197.487190219992</v>
      </c>
      <c r="W32" s="123">
        <f t="shared" si="7"/>
        <v>490690.23975777387</v>
      </c>
      <c r="X32" s="123">
        <f t="shared" si="8"/>
        <v>410757.37473209493</v>
      </c>
    </row>
    <row r="33" spans="1:24" x14ac:dyDescent="0.2">
      <c r="A33">
        <v>2051</v>
      </c>
      <c r="B33">
        <v>36.879448095615203</v>
      </c>
      <c r="C33">
        <v>28.940827509494401</v>
      </c>
      <c r="D33">
        <f t="shared" si="9"/>
        <v>7.9386205861208019</v>
      </c>
      <c r="F33" s="4">
        <f t="shared" si="10"/>
        <v>529770.61378046148</v>
      </c>
      <c r="G33">
        <f>SQRT('Sampling &amp; Combined Error'!$E$14)*$B$2*44/12</f>
        <v>39079.761084041042</v>
      </c>
      <c r="H33" s="123"/>
      <c r="I33">
        <v>217.375</v>
      </c>
      <c r="J33">
        <v>379.66660000000002</v>
      </c>
      <c r="K33">
        <v>1554.49771021999</v>
      </c>
      <c r="L33">
        <v>1107.5355199999999</v>
      </c>
      <c r="M33">
        <v>12306.966700000001</v>
      </c>
      <c r="N33">
        <v>6153.4832999999999</v>
      </c>
      <c r="O33">
        <f t="shared" si="11"/>
        <v>-7197.487190219992</v>
      </c>
      <c r="Q33" s="1">
        <v>2051</v>
      </c>
      <c r="R33">
        <f t="shared" si="3"/>
        <v>14458.506010219991</v>
      </c>
      <c r="S33">
        <f t="shared" si="4"/>
        <v>7261.0188199999993</v>
      </c>
      <c r="U33" s="123">
        <f t="shared" si="5"/>
        <v>87130.45948016207</v>
      </c>
      <c r="V33">
        <f t="shared" si="6"/>
        <v>7197.487190219992</v>
      </c>
      <c r="W33" s="123">
        <f t="shared" si="7"/>
        <v>490690.85269642045</v>
      </c>
      <c r="X33" s="123">
        <f t="shared" si="8"/>
        <v>410757.88040647836</v>
      </c>
    </row>
    <row r="34" spans="1:24" x14ac:dyDescent="0.2">
      <c r="A34">
        <v>2052</v>
      </c>
      <c r="B34">
        <v>36.8794475109543</v>
      </c>
      <c r="C34">
        <v>28.940818653034999</v>
      </c>
      <c r="D34">
        <f t="shared" si="9"/>
        <v>7.9386288579193014</v>
      </c>
      <c r="F34" s="4">
        <f t="shared" si="10"/>
        <v>529771.16578514816</v>
      </c>
      <c r="G34">
        <f>SQRT('Sampling &amp; Combined Error'!$E$14)*$B$2*44/12</f>
        <v>39079.761084041042</v>
      </c>
      <c r="H34" s="123"/>
      <c r="I34">
        <v>217.375</v>
      </c>
      <c r="J34">
        <v>379.66660000000002</v>
      </c>
      <c r="K34">
        <v>1554.49771021999</v>
      </c>
      <c r="L34">
        <v>1107.5355199999999</v>
      </c>
      <c r="M34">
        <v>12306.966700000001</v>
      </c>
      <c r="N34">
        <v>6153.4832999999999</v>
      </c>
      <c r="O34">
        <f t="shared" si="11"/>
        <v>-7197.487190219992</v>
      </c>
      <c r="Q34" s="1">
        <v>2052</v>
      </c>
      <c r="R34">
        <f>SUM(I34,J34,K34,M34)</f>
        <v>14458.506010219991</v>
      </c>
      <c r="S34">
        <f>SUM(L34,N34)</f>
        <v>7261.0188199999993</v>
      </c>
      <c r="U34" s="123">
        <f>(W34+V34)*0.175</f>
        <v>87130.556080982235</v>
      </c>
      <c r="V34">
        <f>R34-S34</f>
        <v>7197.487190219992</v>
      </c>
      <c r="W34" s="123">
        <f>F34-G34</f>
        <v>490691.40470110712</v>
      </c>
      <c r="X34" s="123">
        <f>W34+V34-U34</f>
        <v>410758.3358103449</v>
      </c>
    </row>
    <row r="35" spans="1:24" x14ac:dyDescent="0.2">
      <c r="A35">
        <v>2053</v>
      </c>
      <c r="B35">
        <v>36.879446937344497</v>
      </c>
      <c r="C35">
        <v>28.940810496778301</v>
      </c>
      <c r="D35">
        <f t="shared" si="9"/>
        <v>7.9386364405661958</v>
      </c>
      <c r="F35" s="4">
        <f t="shared" si="10"/>
        <v>529771.67180045077</v>
      </c>
      <c r="G35">
        <f>SQRT('Sampling &amp; Combined Error'!$E$14)*$B$2*44/12</f>
        <v>39079.761084041042</v>
      </c>
      <c r="H35" s="123"/>
      <c r="I35">
        <v>217.375</v>
      </c>
      <c r="J35">
        <v>379.66660000000002</v>
      </c>
      <c r="K35">
        <v>1554.49771021999</v>
      </c>
      <c r="L35">
        <v>1107.5355199999999</v>
      </c>
      <c r="M35">
        <v>12306.966700000001</v>
      </c>
      <c r="N35">
        <v>6153.4832999999999</v>
      </c>
      <c r="O35">
        <f t="shared" si="11"/>
        <v>-7197.487190219992</v>
      </c>
      <c r="Q35" s="1">
        <v>2053</v>
      </c>
      <c r="R35">
        <f t="shared" ref="R35:R47" si="12">SUM(I35,J35,K35,M35)</f>
        <v>14458.506010219991</v>
      </c>
      <c r="S35">
        <f t="shared" ref="S35:S47" si="13">SUM(L35,N35)</f>
        <v>7261.0188199999993</v>
      </c>
      <c r="U35" s="123">
        <f t="shared" ref="U35:U47" si="14">(W35+V35)*0.175</f>
        <v>87130.644633660195</v>
      </c>
      <c r="V35">
        <f t="shared" ref="V35:V47" si="15">R35-S35</f>
        <v>7197.487190219992</v>
      </c>
      <c r="W35" s="123">
        <f t="shared" ref="W35:W47" si="16">F35-G35</f>
        <v>490691.91071640974</v>
      </c>
      <c r="X35" s="123">
        <f t="shared" ref="X35:X47" si="17">W35+V35-U35</f>
        <v>410758.75327296951</v>
      </c>
    </row>
    <row r="36" spans="1:24" x14ac:dyDescent="0.2">
      <c r="A36">
        <v>2054</v>
      </c>
      <c r="B36">
        <v>36.879446374576901</v>
      </c>
      <c r="C36">
        <v>28.9408028785755</v>
      </c>
      <c r="D36">
        <f t="shared" si="9"/>
        <v>7.9386434960014007</v>
      </c>
      <c r="F36" s="4">
        <f t="shared" si="10"/>
        <v>529772.14263316011</v>
      </c>
      <c r="G36">
        <f>SQRT('Sampling &amp; Combined Error'!$E$14)*$B$2*44/12</f>
        <v>39079.761084041042</v>
      </c>
      <c r="H36" s="123"/>
      <c r="I36">
        <v>217.375</v>
      </c>
      <c r="J36">
        <v>379.66660000000002</v>
      </c>
      <c r="K36">
        <v>1554.49771021999</v>
      </c>
      <c r="L36">
        <v>1107.5355199999999</v>
      </c>
      <c r="M36">
        <v>12306.966700000001</v>
      </c>
      <c r="N36">
        <v>6153.4832999999999</v>
      </c>
      <c r="O36">
        <f t="shared" si="11"/>
        <v>-7197.487190219992</v>
      </c>
      <c r="Q36" s="1">
        <v>2054</v>
      </c>
      <c r="R36">
        <f t="shared" si="12"/>
        <v>14458.506010219991</v>
      </c>
      <c r="S36">
        <f t="shared" si="13"/>
        <v>7261.0188199999993</v>
      </c>
      <c r="U36" s="123">
        <f t="shared" si="14"/>
        <v>87130.727029384332</v>
      </c>
      <c r="V36">
        <f t="shared" si="15"/>
        <v>7197.487190219992</v>
      </c>
      <c r="W36" s="123">
        <f t="shared" si="16"/>
        <v>490692.38154911908</v>
      </c>
      <c r="X36" s="123">
        <f t="shared" si="17"/>
        <v>410759.14170995471</v>
      </c>
    </row>
    <row r="37" spans="1:24" x14ac:dyDescent="0.2">
      <c r="A37">
        <v>2055</v>
      </c>
      <c r="B37">
        <v>36.879445822446499</v>
      </c>
      <c r="C37">
        <v>28.940795680964701</v>
      </c>
      <c r="D37">
        <f t="shared" si="9"/>
        <v>7.9386501414817978</v>
      </c>
      <c r="F37" s="4">
        <f t="shared" si="10"/>
        <v>529772.58610821865</v>
      </c>
      <c r="G37">
        <f>SQRT('Sampling &amp; Combined Error'!$E$14)*$B$2*44/12</f>
        <v>39079.761084041042</v>
      </c>
      <c r="H37" s="123"/>
      <c r="I37">
        <v>217.375</v>
      </c>
      <c r="J37">
        <v>379.66660000000002</v>
      </c>
      <c r="K37">
        <v>1554.49771021999</v>
      </c>
      <c r="L37">
        <v>1107.5355199999999</v>
      </c>
      <c r="M37">
        <v>12306.966700000001</v>
      </c>
      <c r="N37">
        <v>6153.4832999999999</v>
      </c>
      <c r="O37">
        <f t="shared" si="11"/>
        <v>-7197.487190219992</v>
      </c>
      <c r="Q37" s="1">
        <v>2055</v>
      </c>
      <c r="R37">
        <f t="shared" si="12"/>
        <v>14458.506010219991</v>
      </c>
      <c r="S37">
        <f t="shared" si="13"/>
        <v>7261.0188199999993</v>
      </c>
      <c r="U37" s="123">
        <f t="shared" si="14"/>
        <v>87130.80463751957</v>
      </c>
      <c r="V37">
        <f t="shared" si="15"/>
        <v>7197.487190219992</v>
      </c>
      <c r="W37" s="123">
        <f t="shared" si="16"/>
        <v>490692.82502417761</v>
      </c>
      <c r="X37" s="123">
        <f t="shared" si="17"/>
        <v>410759.50757687801</v>
      </c>
    </row>
    <row r="38" spans="1:24" x14ac:dyDescent="0.2">
      <c r="A38">
        <v>2056</v>
      </c>
      <c r="B38">
        <v>36.8794452807523</v>
      </c>
      <c r="C38">
        <v>28.9407888186919</v>
      </c>
      <c r="D38">
        <f t="shared" si="9"/>
        <v>7.9386564620604005</v>
      </c>
      <c r="F38" s="4">
        <f t="shared" si="10"/>
        <v>529773.0079014973</v>
      </c>
      <c r="G38">
        <f>SQRT('Sampling &amp; Combined Error'!$E$14)*$B$2*44/12</f>
        <v>39079.761084041042</v>
      </c>
      <c r="H38" s="123"/>
      <c r="I38">
        <v>217.375</v>
      </c>
      <c r="J38">
        <v>379.66660000000002</v>
      </c>
      <c r="K38">
        <v>1554.49771021999</v>
      </c>
      <c r="L38">
        <v>1107.5355199999999</v>
      </c>
      <c r="M38">
        <v>12306.966700000001</v>
      </c>
      <c r="N38">
        <v>6153.4832999999999</v>
      </c>
      <c r="O38">
        <f t="shared" si="11"/>
        <v>-7197.487190219992</v>
      </c>
      <c r="Q38" s="1">
        <v>2056</v>
      </c>
      <c r="R38">
        <f t="shared" si="12"/>
        <v>14458.506010219991</v>
      </c>
      <c r="S38">
        <f t="shared" si="13"/>
        <v>7261.0188199999993</v>
      </c>
      <c r="U38" s="123">
        <f t="shared" si="14"/>
        <v>87130.878451343335</v>
      </c>
      <c r="V38">
        <f t="shared" si="15"/>
        <v>7197.487190219992</v>
      </c>
      <c r="W38" s="123">
        <f t="shared" si="16"/>
        <v>490693.24681745627</v>
      </c>
      <c r="X38" s="123">
        <f t="shared" si="17"/>
        <v>410759.85555633291</v>
      </c>
    </row>
    <row r="39" spans="1:24" x14ac:dyDescent="0.2">
      <c r="A39">
        <v>2057</v>
      </c>
      <c r="B39">
        <v>36.8794447492971</v>
      </c>
      <c r="C39">
        <v>28.940782229720401</v>
      </c>
      <c r="D39">
        <f t="shared" si="9"/>
        <v>7.9386625195766989</v>
      </c>
      <c r="F39" s="4">
        <f t="shared" si="10"/>
        <v>529773.41213975183</v>
      </c>
      <c r="G39">
        <f>SQRT('Sampling &amp; Combined Error'!$E$14)*$B$2*44/12</f>
        <v>39079.761084041042</v>
      </c>
      <c r="H39" s="123"/>
      <c r="I39">
        <v>217.375</v>
      </c>
      <c r="J39">
        <v>379.66660000000002</v>
      </c>
      <c r="K39">
        <v>1554.49771021999</v>
      </c>
      <c r="L39">
        <v>1107.5355199999999</v>
      </c>
      <c r="M39">
        <v>12306.966700000001</v>
      </c>
      <c r="N39">
        <v>6153.4832999999999</v>
      </c>
      <c r="O39">
        <f t="shared" si="11"/>
        <v>-7197.487190219992</v>
      </c>
      <c r="Q39" s="1">
        <v>2057</v>
      </c>
      <c r="R39">
        <f t="shared" si="12"/>
        <v>14458.506010219991</v>
      </c>
      <c r="S39">
        <f t="shared" si="13"/>
        <v>7261.0188199999993</v>
      </c>
      <c r="U39" s="123">
        <f t="shared" si="14"/>
        <v>87130.949193037886</v>
      </c>
      <c r="V39">
        <f t="shared" si="15"/>
        <v>7197.487190219992</v>
      </c>
      <c r="W39" s="123">
        <f t="shared" si="16"/>
        <v>490693.6510557108</v>
      </c>
      <c r="X39" s="123">
        <f t="shared" si="17"/>
        <v>410760.18905289291</v>
      </c>
    </row>
    <row r="40" spans="1:24" x14ac:dyDescent="0.2">
      <c r="A40">
        <v>2058</v>
      </c>
      <c r="B40">
        <v>36.879444227887198</v>
      </c>
      <c r="C40">
        <v>28.940775868752901</v>
      </c>
      <c r="D40">
        <f t="shared" si="9"/>
        <v>7.9386683591342972</v>
      </c>
      <c r="F40" s="4">
        <f t="shared" si="10"/>
        <v>529773.80183289549</v>
      </c>
      <c r="G40">
        <f>SQRT('Sampling &amp; Combined Error'!$E$14)*$B$2*44/12</f>
        <v>39079.761084041042</v>
      </c>
      <c r="H40" s="123"/>
      <c r="I40">
        <v>217.375</v>
      </c>
      <c r="J40">
        <v>379.66660000000002</v>
      </c>
      <c r="K40">
        <v>1554.49771021999</v>
      </c>
      <c r="L40">
        <v>1107.5355199999999</v>
      </c>
      <c r="M40">
        <v>12306.966700000001</v>
      </c>
      <c r="N40">
        <v>6153.4832999999999</v>
      </c>
      <c r="O40">
        <f t="shared" si="11"/>
        <v>-7197.487190219992</v>
      </c>
      <c r="Q40" s="1">
        <v>2058</v>
      </c>
      <c r="R40">
        <f t="shared" si="12"/>
        <v>14458.506010219991</v>
      </c>
      <c r="S40">
        <f t="shared" si="13"/>
        <v>7261.0188199999993</v>
      </c>
      <c r="U40" s="123">
        <f t="shared" si="14"/>
        <v>87131.017389338027</v>
      </c>
      <c r="V40">
        <f t="shared" si="15"/>
        <v>7197.487190219992</v>
      </c>
      <c r="W40" s="123">
        <f t="shared" si="16"/>
        <v>490694.04074885446</v>
      </c>
      <c r="X40" s="123">
        <f t="shared" si="17"/>
        <v>410760.51054973644</v>
      </c>
    </row>
    <row r="41" spans="1:24" x14ac:dyDescent="0.2">
      <c r="A41">
        <v>2059</v>
      </c>
      <c r="B41">
        <v>36.879443716332901</v>
      </c>
      <c r="C41">
        <v>28.940769702564602</v>
      </c>
      <c r="D41">
        <f t="shared" si="9"/>
        <v>7.9386740137682992</v>
      </c>
      <c r="F41" s="4">
        <f t="shared" si="10"/>
        <v>529774.17918547115</v>
      </c>
      <c r="G41">
        <f>SQRT('Sampling &amp; Combined Error'!$E$14)*$B$2*44/12</f>
        <v>39079.761084041042</v>
      </c>
      <c r="H41" s="123"/>
      <c r="I41">
        <v>217.375</v>
      </c>
      <c r="J41">
        <v>379.66660000000002</v>
      </c>
      <c r="K41">
        <v>1554.49771021999</v>
      </c>
      <c r="L41">
        <v>1107.5355199999999</v>
      </c>
      <c r="M41">
        <v>12306.966700000001</v>
      </c>
      <c r="N41">
        <v>6153.4832999999999</v>
      </c>
      <c r="O41">
        <f t="shared" si="11"/>
        <v>-7197.487190219992</v>
      </c>
      <c r="Q41" s="1">
        <v>2059</v>
      </c>
      <c r="R41">
        <f t="shared" si="12"/>
        <v>14458.506010219991</v>
      </c>
      <c r="S41">
        <f t="shared" si="13"/>
        <v>7261.0188199999993</v>
      </c>
      <c r="U41" s="123">
        <f t="shared" si="14"/>
        <v>87131.083426038764</v>
      </c>
      <c r="V41">
        <f t="shared" si="15"/>
        <v>7197.487190219992</v>
      </c>
      <c r="W41" s="123">
        <f t="shared" si="16"/>
        <v>490694.41810143011</v>
      </c>
      <c r="X41" s="123">
        <f t="shared" si="17"/>
        <v>410760.82186561136</v>
      </c>
    </row>
    <row r="42" spans="1:24" x14ac:dyDescent="0.2">
      <c r="A42">
        <v>2060</v>
      </c>
      <c r="B42">
        <v>36.879443214447797</v>
      </c>
      <c r="C42">
        <v>28.9407637066397</v>
      </c>
      <c r="D42">
        <f t="shared" si="9"/>
        <v>7.9386795078080965</v>
      </c>
      <c r="F42" s="4">
        <f t="shared" si="10"/>
        <v>529774.54582106031</v>
      </c>
      <c r="G42">
        <f>SQRT('Sampling &amp; Combined Error'!$E$14)*$B$2*44/12</f>
        <v>39079.761084041042</v>
      </c>
      <c r="H42" s="123"/>
      <c r="I42">
        <v>217.375</v>
      </c>
      <c r="J42">
        <v>379.66660000000002</v>
      </c>
      <c r="K42">
        <v>1554.49771021999</v>
      </c>
      <c r="L42">
        <v>1107.5355199999999</v>
      </c>
      <c r="M42">
        <v>12306.966700000001</v>
      </c>
      <c r="N42">
        <v>6153.4832999999999</v>
      </c>
      <c r="O42">
        <f t="shared" si="11"/>
        <v>-7197.487190219992</v>
      </c>
      <c r="Q42" s="1">
        <v>2060</v>
      </c>
      <c r="R42">
        <f t="shared" si="12"/>
        <v>14458.506010219991</v>
      </c>
      <c r="S42">
        <f t="shared" si="13"/>
        <v>7261.0188199999993</v>
      </c>
      <c r="U42" s="123">
        <f t="shared" si="14"/>
        <v>87131.147587266867</v>
      </c>
      <c r="V42">
        <f t="shared" si="15"/>
        <v>7197.487190219992</v>
      </c>
      <c r="W42" s="123">
        <f t="shared" si="16"/>
        <v>490694.78473701928</v>
      </c>
      <c r="X42" s="123">
        <f t="shared" si="17"/>
        <v>410761.12433997239</v>
      </c>
    </row>
    <row r="43" spans="1:24" x14ac:dyDescent="0.2">
      <c r="A43">
        <v>2061</v>
      </c>
      <c r="B43">
        <v>36.879442722049099</v>
      </c>
      <c r="C43">
        <v>28.940757862748701</v>
      </c>
      <c r="D43">
        <f t="shared" si="9"/>
        <v>7.9386848593003982</v>
      </c>
      <c r="F43" s="4">
        <f t="shared" si="10"/>
        <v>529774.90294397983</v>
      </c>
      <c r="G43">
        <f>SQRT('Sampling &amp; Combined Error'!$E$14)*$B$2*44/12</f>
        <v>39079.761084041042</v>
      </c>
      <c r="H43" s="123"/>
      <c r="I43">
        <v>217.375</v>
      </c>
      <c r="J43">
        <v>379.66660000000002</v>
      </c>
      <c r="K43">
        <v>1554.49771021999</v>
      </c>
      <c r="L43">
        <v>1107.5355199999999</v>
      </c>
      <c r="M43">
        <v>12306.966700000001</v>
      </c>
      <c r="N43">
        <v>6153.4832999999999</v>
      </c>
      <c r="O43">
        <f t="shared" si="11"/>
        <v>-7197.487190219992</v>
      </c>
      <c r="Q43" s="1">
        <v>2061</v>
      </c>
      <c r="R43">
        <f t="shared" si="12"/>
        <v>14458.506010219991</v>
      </c>
      <c r="S43">
        <f t="shared" si="13"/>
        <v>7261.0188199999993</v>
      </c>
      <c r="U43" s="123">
        <f t="shared" si="14"/>
        <v>87131.210083777783</v>
      </c>
      <c r="V43">
        <f t="shared" si="15"/>
        <v>7197.487190219992</v>
      </c>
      <c r="W43" s="123">
        <f t="shared" si="16"/>
        <v>490695.1418599388</v>
      </c>
      <c r="X43" s="123">
        <f t="shared" si="17"/>
        <v>410761.418966381</v>
      </c>
    </row>
    <row r="44" spans="1:24" x14ac:dyDescent="0.2">
      <c r="A44">
        <v>2062</v>
      </c>
      <c r="B44">
        <v>36.879442238957601</v>
      </c>
      <c r="C44">
        <v>28.9407521572018</v>
      </c>
      <c r="D44">
        <f t="shared" si="9"/>
        <v>7.9386900817558015</v>
      </c>
      <c r="F44" s="4">
        <f t="shared" si="10"/>
        <v>529775.25145583716</v>
      </c>
      <c r="G44">
        <f>SQRT('Sampling &amp; Combined Error'!$E$14)*$B$2*44/12</f>
        <v>39079.761084041042</v>
      </c>
      <c r="H44" s="123"/>
      <c r="I44">
        <v>217.375</v>
      </c>
      <c r="J44">
        <v>379.66660000000002</v>
      </c>
      <c r="K44">
        <v>1554.49771021999</v>
      </c>
      <c r="L44">
        <v>1107.5355199999999</v>
      </c>
      <c r="M44">
        <v>12306.966700000001</v>
      </c>
      <c r="N44">
        <v>6153.4832999999999</v>
      </c>
      <c r="O44">
        <f t="shared" si="11"/>
        <v>-7197.487190219992</v>
      </c>
      <c r="Q44" s="1">
        <v>2062</v>
      </c>
      <c r="R44">
        <f t="shared" si="12"/>
        <v>14458.506010219991</v>
      </c>
      <c r="S44">
        <f t="shared" si="13"/>
        <v>7261.0188199999993</v>
      </c>
      <c r="U44" s="123">
        <f t="shared" si="14"/>
        <v>87131.271073352807</v>
      </c>
      <c r="V44">
        <f t="shared" si="15"/>
        <v>7197.487190219992</v>
      </c>
      <c r="W44" s="123">
        <f t="shared" si="16"/>
        <v>490695.49037179613</v>
      </c>
      <c r="X44" s="123">
        <f t="shared" si="17"/>
        <v>410761.70648866333</v>
      </c>
    </row>
    <row r="45" spans="1:24" x14ac:dyDescent="0.2">
      <c r="A45">
        <v>2063</v>
      </c>
      <c r="B45">
        <v>36.879441764997402</v>
      </c>
      <c r="C45">
        <v>28.940746579591</v>
      </c>
      <c r="D45">
        <f t="shared" si="9"/>
        <v>7.9386951854064023</v>
      </c>
      <c r="F45" s="4">
        <f t="shared" si="10"/>
        <v>529775.59203945391</v>
      </c>
      <c r="G45">
        <f>SQRT('Sampling &amp; Combined Error'!$E$14)*$B$2*44/12</f>
        <v>39079.761084041042</v>
      </c>
      <c r="H45" s="123"/>
      <c r="I45">
        <v>217.375</v>
      </c>
      <c r="J45">
        <v>379.66660000000002</v>
      </c>
      <c r="K45">
        <v>1554.49771021999</v>
      </c>
      <c r="L45">
        <v>1107.5355199999999</v>
      </c>
      <c r="M45">
        <v>12306.966700000001</v>
      </c>
      <c r="N45">
        <v>6153.4832999999999</v>
      </c>
      <c r="O45">
        <f t="shared" si="11"/>
        <v>-7197.487190219992</v>
      </c>
      <c r="Q45" s="1">
        <v>2063</v>
      </c>
      <c r="R45">
        <f t="shared" si="12"/>
        <v>14458.506010219991</v>
      </c>
      <c r="S45">
        <f t="shared" si="13"/>
        <v>7261.0188199999993</v>
      </c>
      <c r="U45" s="123">
        <f t="shared" si="14"/>
        <v>87131.330675485748</v>
      </c>
      <c r="V45">
        <f t="shared" si="15"/>
        <v>7197.487190219992</v>
      </c>
      <c r="W45" s="123">
        <f t="shared" si="16"/>
        <v>490695.83095541288</v>
      </c>
      <c r="X45" s="123">
        <f t="shared" si="17"/>
        <v>410761.98747014708</v>
      </c>
    </row>
    <row r="46" spans="1:24" x14ac:dyDescent="0.2">
      <c r="A46">
        <v>2064</v>
      </c>
      <c r="B46">
        <v>36.879441299995797</v>
      </c>
      <c r="C46">
        <v>28.940741121882802</v>
      </c>
      <c r="D46">
        <f t="shared" si="9"/>
        <v>7.9387001781129953</v>
      </c>
      <c r="F46" s="4">
        <f t="shared" si="10"/>
        <v>529775.92521940719</v>
      </c>
      <c r="G46">
        <f>SQRT('Sampling &amp; Combined Error'!$E$14)*$B$2*44/12</f>
        <v>39079.761084041042</v>
      </c>
      <c r="H46" s="123"/>
      <c r="I46">
        <v>217.375</v>
      </c>
      <c r="J46">
        <v>379.66660000000002</v>
      </c>
      <c r="K46">
        <v>1554.49771021999</v>
      </c>
      <c r="L46">
        <v>1107.5355199999999</v>
      </c>
      <c r="M46">
        <v>12306.966700000001</v>
      </c>
      <c r="N46">
        <v>6153.4832999999999</v>
      </c>
      <c r="O46">
        <f t="shared" si="11"/>
        <v>-7197.487190219992</v>
      </c>
      <c r="Q46" s="1">
        <v>2064</v>
      </c>
      <c r="R46">
        <f t="shared" si="12"/>
        <v>14458.506010219991</v>
      </c>
      <c r="S46">
        <f t="shared" si="13"/>
        <v>7261.0188199999993</v>
      </c>
      <c r="U46" s="123">
        <f t="shared" si="14"/>
        <v>87131.388981977565</v>
      </c>
      <c r="V46">
        <f t="shared" si="15"/>
        <v>7197.487190219992</v>
      </c>
      <c r="W46" s="123">
        <f t="shared" si="16"/>
        <v>490696.16413536615</v>
      </c>
      <c r="X46" s="123">
        <f t="shared" si="17"/>
        <v>410762.26234360854</v>
      </c>
    </row>
    <row r="47" spans="1:24" x14ac:dyDescent="0.2">
      <c r="A47">
        <v>2065</v>
      </c>
      <c r="B47">
        <v>36.879440843783499</v>
      </c>
      <c r="C47">
        <v>28.940735777765202</v>
      </c>
      <c r="D47">
        <f t="shared" si="9"/>
        <v>7.9387050660182972</v>
      </c>
      <c r="F47" s="4">
        <f t="shared" si="10"/>
        <v>529776.25140562095</v>
      </c>
      <c r="G47">
        <f>SQRT('Sampling &amp; Combined Error'!$E$14)*$B$2*44/12</f>
        <v>39079.761084041042</v>
      </c>
      <c r="H47" s="123"/>
      <c r="I47">
        <v>217.375</v>
      </c>
      <c r="J47">
        <v>379.66660000000002</v>
      </c>
      <c r="K47">
        <v>1554.49771021999</v>
      </c>
      <c r="L47">
        <v>1107.5355199999999</v>
      </c>
      <c r="M47">
        <v>12306.966700000001</v>
      </c>
      <c r="N47">
        <v>6153.4832999999999</v>
      </c>
      <c r="O47">
        <f t="shared" si="11"/>
        <v>-7197.487190219992</v>
      </c>
      <c r="Q47" s="1">
        <v>2065</v>
      </c>
      <c r="R47">
        <f t="shared" si="12"/>
        <v>14458.506010219991</v>
      </c>
      <c r="S47">
        <f t="shared" si="13"/>
        <v>7261.0188199999993</v>
      </c>
      <c r="U47" s="123">
        <f t="shared" si="14"/>
        <v>87131.446064564981</v>
      </c>
      <c r="V47">
        <f t="shared" si="15"/>
        <v>7197.487190219992</v>
      </c>
      <c r="W47" s="123">
        <f t="shared" si="16"/>
        <v>490696.49032157991</v>
      </c>
      <c r="X47" s="123">
        <f t="shared" si="17"/>
        <v>410762.53144723491</v>
      </c>
    </row>
    <row r="49" spans="24:24" x14ac:dyDescent="0.2">
      <c r="X49" s="123">
        <f>412320*40</f>
        <v>16492800</v>
      </c>
    </row>
  </sheetData>
  <mergeCells count="2">
    <mergeCell ref="F3:G3"/>
    <mergeCell ref="I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3A44-7711-EE4F-8675-041414C547FC}">
  <dimension ref="A1:AN250"/>
  <sheetViews>
    <sheetView topLeftCell="A17" workbookViewId="0">
      <selection activeCell="A9" sqref="A9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26" max="26" width="19.33203125" style="6"/>
    <col min="30" max="30" width="51.6640625" customWidth="1"/>
  </cols>
  <sheetData>
    <row r="1" spans="1:40" ht="34" customHeight="1" x14ac:dyDescent="0.2">
      <c r="A1" s="5" t="s">
        <v>7</v>
      </c>
    </row>
    <row r="2" spans="1:40" ht="32" customHeight="1" x14ac:dyDescent="0.3">
      <c r="A2" s="9" t="s">
        <v>8</v>
      </c>
      <c r="AA2" s="9"/>
      <c r="AE2" s="9"/>
      <c r="AG2" s="9" t="s">
        <v>9</v>
      </c>
    </row>
    <row r="3" spans="1:40" s="19" customFormat="1" ht="68" x14ac:dyDescent="0.2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1" t="s">
        <v>16</v>
      </c>
      <c r="H3" s="11" t="s">
        <v>17</v>
      </c>
      <c r="I3" s="10" t="s">
        <v>18</v>
      </c>
      <c r="J3" s="12" t="s">
        <v>19</v>
      </c>
      <c r="K3" s="12" t="s">
        <v>20</v>
      </c>
      <c r="L3" s="10" t="s">
        <v>21</v>
      </c>
      <c r="M3" s="10" t="s">
        <v>22</v>
      </c>
      <c r="N3" s="10" t="s">
        <v>23</v>
      </c>
      <c r="O3" s="13" t="s">
        <v>24</v>
      </c>
      <c r="P3" s="10" t="s">
        <v>25</v>
      </c>
      <c r="Q3" s="10" t="s">
        <v>26</v>
      </c>
      <c r="R3" s="10" t="s">
        <v>27</v>
      </c>
      <c r="S3" s="13" t="s">
        <v>28</v>
      </c>
      <c r="T3" s="11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0" t="s">
        <v>34</v>
      </c>
      <c r="Z3" s="10" t="s">
        <v>35</v>
      </c>
      <c r="AA3" s="15" t="s">
        <v>36</v>
      </c>
      <c r="AB3" s="10" t="s">
        <v>37</v>
      </c>
      <c r="AC3" s="10" t="s">
        <v>38</v>
      </c>
      <c r="AD3" s="10" t="s">
        <v>39</v>
      </c>
      <c r="AE3" s="16" t="s">
        <v>40</v>
      </c>
      <c r="AF3" s="16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</row>
    <row r="4" spans="1:40" s="19" customFormat="1" ht="16" customHeight="1" x14ac:dyDescent="0.2">
      <c r="A4" s="20" t="s">
        <v>50</v>
      </c>
      <c r="B4" s="20" t="s">
        <v>51</v>
      </c>
      <c r="C4" s="20" t="s">
        <v>52</v>
      </c>
      <c r="D4" s="21" t="s">
        <v>53</v>
      </c>
      <c r="E4" s="22" t="s">
        <v>54</v>
      </c>
      <c r="F4" s="20" t="s">
        <v>55</v>
      </c>
      <c r="G4" s="20">
        <v>31.215972000000001</v>
      </c>
      <c r="H4" s="20">
        <v>70.969943999999998</v>
      </c>
      <c r="I4" s="23">
        <v>38672</v>
      </c>
      <c r="J4" s="23">
        <v>39187</v>
      </c>
      <c r="K4" s="20" t="s">
        <v>56</v>
      </c>
      <c r="L4" s="20">
        <v>2</v>
      </c>
      <c r="M4" s="24" t="s">
        <v>57</v>
      </c>
      <c r="N4" s="25">
        <v>0.48</v>
      </c>
      <c r="O4" s="26">
        <f>N4/1.724</f>
        <v>0.27842227378190254</v>
      </c>
      <c r="P4" s="26">
        <f t="shared" ref="P4:P10" si="0">10000*W4*U4*(O4/100)</f>
        <v>12.445475638051043</v>
      </c>
      <c r="Q4" s="24" t="s">
        <v>58</v>
      </c>
      <c r="R4" s="27">
        <v>0.46</v>
      </c>
      <c r="S4" s="26">
        <f>R4/1.724</f>
        <v>0.26682134570765664</v>
      </c>
      <c r="T4" s="26">
        <f t="shared" ref="T4:T10" si="1">10000*U4*X4*(S4/100)</f>
        <v>11.206496519721579</v>
      </c>
      <c r="U4" s="20">
        <v>0.3</v>
      </c>
      <c r="V4" s="20" t="s">
        <v>59</v>
      </c>
      <c r="W4" s="20">
        <v>1.49</v>
      </c>
      <c r="X4" s="20">
        <v>1.4</v>
      </c>
      <c r="Y4" s="28" t="s">
        <v>60</v>
      </c>
      <c r="Z4" s="29"/>
      <c r="AA4" s="30" t="s">
        <v>61</v>
      </c>
      <c r="AB4" s="31">
        <v>16</v>
      </c>
      <c r="AC4" s="28" t="s">
        <v>60</v>
      </c>
      <c r="AD4" s="32" t="s">
        <v>62</v>
      </c>
      <c r="AE4" s="22">
        <v>4.6669999999999998</v>
      </c>
      <c r="AF4" s="22">
        <v>3</v>
      </c>
      <c r="AG4" s="33">
        <f t="shared" ref="AG4:AG16" si="2">T4-P4</f>
        <v>-1.2389791183294641</v>
      </c>
      <c r="AH4" s="34">
        <f t="shared" ref="AH4:AH16" si="3">AG4/L4</f>
        <v>-0.61948955916473203</v>
      </c>
      <c r="AI4">
        <v>12.0021522190686</v>
      </c>
      <c r="AJ4" s="34">
        <f t="shared" ref="AJ4:AJ16" si="4">AI4-P4</f>
        <v>-0.44332341898244287</v>
      </c>
      <c r="AK4" s="34">
        <f t="shared" ref="AK4:AK16" si="5">AJ4/L4</f>
        <v>-0.22166170949122144</v>
      </c>
      <c r="AL4" s="35">
        <f>AJ4-AG4</f>
        <v>0.79565569934702118</v>
      </c>
      <c r="AM4" s="35">
        <f>AK4-AH4</f>
        <v>0.39782784967351059</v>
      </c>
      <c r="AN4" s="35">
        <f t="shared" ref="AN4:AN16" si="6">AM4-AVERAGE($AM$4:$AM$16)</f>
        <v>0.31709131289591275</v>
      </c>
    </row>
    <row r="5" spans="1:40" ht="16" customHeight="1" x14ac:dyDescent="0.2">
      <c r="A5" s="20" t="s">
        <v>63</v>
      </c>
      <c r="B5" s="20" t="s">
        <v>64</v>
      </c>
      <c r="C5" s="20" t="s">
        <v>65</v>
      </c>
      <c r="D5" s="21" t="s">
        <v>53</v>
      </c>
      <c r="E5" s="22" t="s">
        <v>66</v>
      </c>
      <c r="F5" s="20" t="s">
        <v>67</v>
      </c>
      <c r="G5" s="20">
        <v>-9.0791999999999998E-2</v>
      </c>
      <c r="H5" s="20">
        <v>34.685281000000003</v>
      </c>
      <c r="I5" s="23">
        <v>41334</v>
      </c>
      <c r="J5" s="23">
        <v>41517</v>
      </c>
      <c r="K5" s="20" t="s">
        <v>68</v>
      </c>
      <c r="L5" s="20">
        <v>1</v>
      </c>
      <c r="M5" s="20"/>
      <c r="N5" s="36"/>
      <c r="O5" s="37">
        <v>1.32</v>
      </c>
      <c r="P5" s="26">
        <f t="shared" si="0"/>
        <v>34.214399999999998</v>
      </c>
      <c r="Q5" s="38"/>
      <c r="R5" s="39"/>
      <c r="S5" s="40">
        <v>1.325</v>
      </c>
      <c r="T5" s="26">
        <f t="shared" si="1"/>
        <v>34.344000000000001</v>
      </c>
      <c r="U5" s="20">
        <v>0.2</v>
      </c>
      <c r="V5" s="20" t="s">
        <v>69</v>
      </c>
      <c r="W5" s="41">
        <v>1.296</v>
      </c>
      <c r="X5" s="41">
        <v>1.296</v>
      </c>
      <c r="Y5" s="42" t="s">
        <v>70</v>
      </c>
      <c r="Z5" s="29"/>
      <c r="AA5" s="30" t="s">
        <v>71</v>
      </c>
      <c r="AB5" s="31">
        <v>66.88</v>
      </c>
      <c r="AC5" s="28" t="s">
        <v>60</v>
      </c>
      <c r="AD5" s="43" t="s">
        <v>72</v>
      </c>
      <c r="AE5" s="22">
        <v>2.3419376592898402</v>
      </c>
      <c r="AF5" s="22">
        <v>2</v>
      </c>
      <c r="AG5" s="33">
        <f t="shared" si="2"/>
        <v>0.12960000000000349</v>
      </c>
      <c r="AH5" s="34">
        <f t="shared" si="3"/>
        <v>0.12960000000000349</v>
      </c>
      <c r="AI5">
        <v>33.403199072060197</v>
      </c>
      <c r="AJ5" s="34">
        <f t="shared" si="4"/>
        <v>-0.81120092793980092</v>
      </c>
      <c r="AK5" s="34">
        <f t="shared" si="5"/>
        <v>-0.81120092793980092</v>
      </c>
      <c r="AL5" s="35">
        <f t="shared" ref="AL5:AM16" si="7">AJ5-AG5</f>
        <v>-0.94080092793980441</v>
      </c>
      <c r="AM5" s="35">
        <f t="shared" si="7"/>
        <v>-0.94080092793980441</v>
      </c>
      <c r="AN5" s="35">
        <f t="shared" si="6"/>
        <v>-1.0215374647174023</v>
      </c>
    </row>
    <row r="6" spans="1:40" ht="16" customHeight="1" x14ac:dyDescent="0.2">
      <c r="A6" s="20" t="s">
        <v>63</v>
      </c>
      <c r="B6" s="20" t="s">
        <v>64</v>
      </c>
      <c r="C6" s="20" t="s">
        <v>73</v>
      </c>
      <c r="D6" s="21" t="s">
        <v>53</v>
      </c>
      <c r="E6" s="22" t="s">
        <v>74</v>
      </c>
      <c r="F6" s="20" t="s">
        <v>67</v>
      </c>
      <c r="G6" s="20">
        <v>0.281449</v>
      </c>
      <c r="H6" s="20">
        <v>34.767664000000003</v>
      </c>
      <c r="I6" s="23">
        <v>41699</v>
      </c>
      <c r="J6" s="23">
        <v>41882</v>
      </c>
      <c r="K6" s="20" t="s">
        <v>68</v>
      </c>
      <c r="L6" s="20">
        <v>1</v>
      </c>
      <c r="M6" s="20"/>
      <c r="N6" s="36"/>
      <c r="O6" s="37">
        <v>2.66</v>
      </c>
      <c r="P6" s="26">
        <f t="shared" si="0"/>
        <v>70.543199999999999</v>
      </c>
      <c r="Q6" s="20"/>
      <c r="R6" s="36"/>
      <c r="S6" s="40">
        <v>2.54</v>
      </c>
      <c r="T6" s="26">
        <f t="shared" si="1"/>
        <v>67.360799999999998</v>
      </c>
      <c r="U6" s="20">
        <v>0.2</v>
      </c>
      <c r="V6" s="20" t="s">
        <v>69</v>
      </c>
      <c r="W6" s="41">
        <v>1.3260000000000001</v>
      </c>
      <c r="X6" s="41">
        <v>1.3260000000000001</v>
      </c>
      <c r="Y6" s="44" t="s">
        <v>70</v>
      </c>
      <c r="Z6" s="29"/>
      <c r="AA6" s="30" t="s">
        <v>71</v>
      </c>
      <c r="AB6" s="31">
        <v>18.16</v>
      </c>
      <c r="AC6" s="28" t="s">
        <v>60</v>
      </c>
      <c r="AD6" s="45" t="s">
        <v>72</v>
      </c>
      <c r="AE6" s="22">
        <v>2.3419376592898402</v>
      </c>
      <c r="AF6" s="22">
        <v>2</v>
      </c>
      <c r="AG6" s="33">
        <f t="shared" si="2"/>
        <v>-3.1824000000000012</v>
      </c>
      <c r="AH6" s="34">
        <f t="shared" si="3"/>
        <v>-3.1824000000000012</v>
      </c>
      <c r="AI6">
        <v>67.537859263138301</v>
      </c>
      <c r="AJ6" s="34">
        <f t="shared" si="4"/>
        <v>-3.0053407368616973</v>
      </c>
      <c r="AK6" s="34">
        <f t="shared" si="5"/>
        <v>-3.0053407368616973</v>
      </c>
      <c r="AL6" s="35">
        <f t="shared" si="7"/>
        <v>0.17705926313830389</v>
      </c>
      <c r="AM6" s="35">
        <f t="shared" si="7"/>
        <v>0.17705926313830389</v>
      </c>
      <c r="AN6" s="35">
        <f t="shared" si="6"/>
        <v>9.6322726360706032E-2</v>
      </c>
    </row>
    <row r="7" spans="1:40" ht="16" customHeight="1" x14ac:dyDescent="0.2">
      <c r="A7" s="22" t="s">
        <v>75</v>
      </c>
      <c r="B7" s="20" t="s">
        <v>76</v>
      </c>
      <c r="C7" s="20" t="s">
        <v>77</v>
      </c>
      <c r="D7" s="21" t="s">
        <v>53</v>
      </c>
      <c r="E7" s="20" t="s">
        <v>78</v>
      </c>
      <c r="F7" s="20" t="s">
        <v>79</v>
      </c>
      <c r="G7" s="20">
        <v>11.482675</v>
      </c>
      <c r="H7" s="20">
        <v>77.136517999999995</v>
      </c>
      <c r="I7" s="23">
        <v>40299</v>
      </c>
      <c r="J7" s="23">
        <v>40663</v>
      </c>
      <c r="K7" s="20" t="s">
        <v>80</v>
      </c>
      <c r="L7" s="20">
        <v>1</v>
      </c>
      <c r="M7" s="20"/>
      <c r="N7" s="36"/>
      <c r="O7" s="40">
        <v>0.51</v>
      </c>
      <c r="P7" s="26">
        <f t="shared" si="0"/>
        <v>13.770000000000001</v>
      </c>
      <c r="Q7" s="20"/>
      <c r="R7" s="36"/>
      <c r="S7" s="36">
        <v>0.5</v>
      </c>
      <c r="T7" s="26">
        <f t="shared" si="1"/>
        <v>12.8</v>
      </c>
      <c r="U7" s="20">
        <v>0.2</v>
      </c>
      <c r="V7" s="20" t="s">
        <v>69</v>
      </c>
      <c r="W7" s="20">
        <v>1.35</v>
      </c>
      <c r="X7" s="20">
        <v>1.28</v>
      </c>
      <c r="Y7" s="44" t="s">
        <v>60</v>
      </c>
      <c r="Z7" s="29"/>
      <c r="AA7" s="30" t="s">
        <v>81</v>
      </c>
      <c r="AB7" s="46">
        <v>35.704999999999998</v>
      </c>
      <c r="AC7" s="28" t="s">
        <v>70</v>
      </c>
      <c r="AD7" s="47" t="s">
        <v>82</v>
      </c>
      <c r="AE7" s="22">
        <v>4.6669999999999998</v>
      </c>
      <c r="AF7" s="22">
        <v>1</v>
      </c>
      <c r="AG7" s="33">
        <f t="shared" si="2"/>
        <v>-0.97000000000000064</v>
      </c>
      <c r="AH7" s="34">
        <f t="shared" si="3"/>
        <v>-0.97000000000000064</v>
      </c>
      <c r="AI7">
        <v>13.042309807725299</v>
      </c>
      <c r="AJ7" s="34">
        <f t="shared" si="4"/>
        <v>-0.72769019227470189</v>
      </c>
      <c r="AK7" s="34">
        <f t="shared" si="5"/>
        <v>-0.72769019227470189</v>
      </c>
      <c r="AL7" s="35">
        <f t="shared" si="7"/>
        <v>0.24230980772529875</v>
      </c>
      <c r="AM7" s="35">
        <f t="shared" si="7"/>
        <v>0.24230980772529875</v>
      </c>
      <c r="AN7" s="35">
        <f t="shared" si="6"/>
        <v>0.16157327094770091</v>
      </c>
    </row>
    <row r="8" spans="1:40" ht="16" customHeight="1" x14ac:dyDescent="0.2">
      <c r="A8" s="20" t="s">
        <v>83</v>
      </c>
      <c r="B8" s="20" t="s">
        <v>84</v>
      </c>
      <c r="C8" s="20" t="s">
        <v>85</v>
      </c>
      <c r="D8" s="21" t="s">
        <v>53</v>
      </c>
      <c r="E8" s="20" t="s">
        <v>86</v>
      </c>
      <c r="F8" s="20" t="s">
        <v>67</v>
      </c>
      <c r="G8" s="20">
        <v>-1.0891109999999999</v>
      </c>
      <c r="H8" s="20">
        <v>37.009777999999997</v>
      </c>
      <c r="I8" s="23">
        <v>42309</v>
      </c>
      <c r="J8" s="23">
        <v>42917</v>
      </c>
      <c r="K8" s="20" t="s">
        <v>56</v>
      </c>
      <c r="L8" s="20">
        <v>2</v>
      </c>
      <c r="M8" s="20" t="s">
        <v>87</v>
      </c>
      <c r="N8" s="25">
        <v>14.45</v>
      </c>
      <c r="O8" s="36">
        <f>N8/10</f>
        <v>1.4449999999999998</v>
      </c>
      <c r="P8" s="26">
        <f t="shared" si="0"/>
        <v>62.857499999999987</v>
      </c>
      <c r="Q8" s="20" t="s">
        <v>87</v>
      </c>
      <c r="R8" s="36">
        <v>14</v>
      </c>
      <c r="S8" s="36">
        <f>R8/10</f>
        <v>1.4</v>
      </c>
      <c r="T8" s="26">
        <f t="shared" si="1"/>
        <v>61.949999999999996</v>
      </c>
      <c r="U8" s="20">
        <v>0.3</v>
      </c>
      <c r="V8" s="20" t="s">
        <v>59</v>
      </c>
      <c r="W8" s="20">
        <v>1.45</v>
      </c>
      <c r="X8" s="20">
        <v>1.4750000000000001</v>
      </c>
      <c r="Y8" s="28" t="s">
        <v>60</v>
      </c>
      <c r="Z8" s="29"/>
      <c r="AA8" s="30" t="s">
        <v>71</v>
      </c>
      <c r="AB8" s="31">
        <v>58.3</v>
      </c>
      <c r="AC8" s="28" t="s">
        <v>60</v>
      </c>
      <c r="AD8" t="s">
        <v>88</v>
      </c>
      <c r="AE8" s="22">
        <v>4.6669999999999998</v>
      </c>
      <c r="AF8" s="22">
        <v>1</v>
      </c>
      <c r="AG8" s="33">
        <f t="shared" si="2"/>
        <v>-0.90749999999999176</v>
      </c>
      <c r="AH8" s="34">
        <f t="shared" si="3"/>
        <v>-0.45374999999999588</v>
      </c>
      <c r="AI8">
        <v>62.439632956043198</v>
      </c>
      <c r="AJ8" s="34">
        <f t="shared" si="4"/>
        <v>-0.41786704395678953</v>
      </c>
      <c r="AK8" s="34">
        <f t="shared" si="5"/>
        <v>-0.20893352197839477</v>
      </c>
      <c r="AL8" s="35">
        <f t="shared" si="7"/>
        <v>0.48963295604320223</v>
      </c>
      <c r="AM8" s="35">
        <f t="shared" si="7"/>
        <v>0.24481647802160111</v>
      </c>
      <c r="AN8" s="35">
        <f t="shared" si="6"/>
        <v>0.16407994124400327</v>
      </c>
    </row>
    <row r="9" spans="1:40" s="49" customFormat="1" ht="16" customHeight="1" x14ac:dyDescent="0.2">
      <c r="A9" s="20" t="s">
        <v>89</v>
      </c>
      <c r="B9" s="20" t="s">
        <v>90</v>
      </c>
      <c r="C9" s="20" t="s">
        <v>91</v>
      </c>
      <c r="D9" s="21" t="s">
        <v>53</v>
      </c>
      <c r="E9" s="20" t="s">
        <v>92</v>
      </c>
      <c r="F9" s="20" t="s">
        <v>79</v>
      </c>
      <c r="G9" s="20">
        <v>28.5</v>
      </c>
      <c r="H9" s="20">
        <v>79.5</v>
      </c>
      <c r="I9" s="23">
        <v>40817</v>
      </c>
      <c r="J9" s="23">
        <v>41365</v>
      </c>
      <c r="K9" s="20" t="s">
        <v>56</v>
      </c>
      <c r="L9" s="20">
        <v>2</v>
      </c>
      <c r="M9" s="20"/>
      <c r="N9" s="36"/>
      <c r="O9" s="36">
        <v>0.73</v>
      </c>
      <c r="P9" s="26">
        <f t="shared" si="0"/>
        <v>15.439500000000001</v>
      </c>
      <c r="Q9" s="20"/>
      <c r="R9" s="36"/>
      <c r="S9" s="36">
        <v>0.76</v>
      </c>
      <c r="T9" s="26">
        <f t="shared" si="1"/>
        <v>15.504000000000001</v>
      </c>
      <c r="U9" s="20">
        <v>0.15</v>
      </c>
      <c r="V9" s="20" t="s">
        <v>93</v>
      </c>
      <c r="W9" s="20">
        <v>1.41</v>
      </c>
      <c r="X9" s="20">
        <v>1.36</v>
      </c>
      <c r="Y9" s="28" t="s">
        <v>60</v>
      </c>
      <c r="Z9" s="29" t="s">
        <v>94</v>
      </c>
      <c r="AA9" s="30" t="s">
        <v>81</v>
      </c>
      <c r="AB9" s="46">
        <v>28.4444444444444</v>
      </c>
      <c r="AC9" s="48" t="s">
        <v>70</v>
      </c>
      <c r="AD9" s="28" t="s">
        <v>95</v>
      </c>
      <c r="AE9" s="22">
        <v>4.6669999999999998</v>
      </c>
      <c r="AF9" s="22">
        <v>1</v>
      </c>
      <c r="AG9" s="33">
        <f t="shared" si="2"/>
        <v>6.4500000000000668E-2</v>
      </c>
      <c r="AH9" s="34">
        <f t="shared" si="3"/>
        <v>3.2250000000000334E-2</v>
      </c>
      <c r="AI9">
        <v>14.3515211352201</v>
      </c>
      <c r="AJ9" s="34">
        <f t="shared" si="4"/>
        <v>-1.0879788647799007</v>
      </c>
      <c r="AK9" s="34">
        <f t="shared" si="5"/>
        <v>-0.54398943238995034</v>
      </c>
      <c r="AL9" s="35">
        <f t="shared" si="7"/>
        <v>-1.1524788647799014</v>
      </c>
      <c r="AM9" s="35">
        <f t="shared" si="7"/>
        <v>-0.57623943238995068</v>
      </c>
      <c r="AN9" s="35">
        <f t="shared" si="6"/>
        <v>-0.65697596916754852</v>
      </c>
    </row>
    <row r="10" spans="1:40" s="49" customFormat="1" ht="16" customHeight="1" x14ac:dyDescent="0.2">
      <c r="A10" s="20" t="s">
        <v>96</v>
      </c>
      <c r="B10" s="20" t="s">
        <v>97</v>
      </c>
      <c r="C10" s="20" t="s">
        <v>98</v>
      </c>
      <c r="D10" s="21" t="s">
        <v>53</v>
      </c>
      <c r="E10" s="20" t="s">
        <v>99</v>
      </c>
      <c r="F10" s="20" t="s">
        <v>55</v>
      </c>
      <c r="G10" s="20">
        <v>37.627827000000003</v>
      </c>
      <c r="H10" s="20">
        <v>13.715096000000001</v>
      </c>
      <c r="I10" s="23">
        <v>35796</v>
      </c>
      <c r="J10" s="23">
        <v>40330</v>
      </c>
      <c r="K10" s="50" t="s">
        <v>56</v>
      </c>
      <c r="L10" s="21">
        <v>12</v>
      </c>
      <c r="M10" s="20" t="s">
        <v>87</v>
      </c>
      <c r="N10" s="36">
        <v>16.399999999999999</v>
      </c>
      <c r="O10" s="36">
        <f>N10/10</f>
        <v>1.64</v>
      </c>
      <c r="P10" s="26">
        <f t="shared" si="0"/>
        <v>71.733599999999996</v>
      </c>
      <c r="Q10" s="20" t="s">
        <v>87</v>
      </c>
      <c r="R10" s="36">
        <v>16.14</v>
      </c>
      <c r="S10" s="36">
        <f>R10/10</f>
        <v>1.6140000000000001</v>
      </c>
      <c r="T10" s="26">
        <f t="shared" si="1"/>
        <v>70.596360000000004</v>
      </c>
      <c r="U10" s="20">
        <v>0.3</v>
      </c>
      <c r="V10" s="20" t="s">
        <v>59</v>
      </c>
      <c r="W10" s="20">
        <v>1.458</v>
      </c>
      <c r="X10" s="20">
        <v>1.458</v>
      </c>
      <c r="Y10" s="28" t="s">
        <v>70</v>
      </c>
      <c r="Z10" s="29"/>
      <c r="AA10" s="30" t="s">
        <v>81</v>
      </c>
      <c r="AB10" s="51">
        <v>57.7</v>
      </c>
      <c r="AC10" s="28" t="s">
        <v>60</v>
      </c>
      <c r="AD10" s="52" t="s">
        <v>100</v>
      </c>
      <c r="AE10" s="22">
        <v>4.6669999999999998</v>
      </c>
      <c r="AF10" s="22">
        <v>1</v>
      </c>
      <c r="AG10" s="33">
        <f t="shared" si="2"/>
        <v>-1.1372399999999914</v>
      </c>
      <c r="AH10" s="34">
        <f t="shared" si="3"/>
        <v>-9.4769999999999285E-2</v>
      </c>
      <c r="AI10">
        <v>69.952499191447203</v>
      </c>
      <c r="AJ10" s="34">
        <f t="shared" si="4"/>
        <v>-1.7811008085527931</v>
      </c>
      <c r="AK10" s="34">
        <f t="shared" si="5"/>
        <v>-0.14842506737939942</v>
      </c>
      <c r="AL10" s="35">
        <f t="shared" si="7"/>
        <v>-0.6438608085528017</v>
      </c>
      <c r="AM10" s="35">
        <f t="shared" si="7"/>
        <v>-5.3655067379400137E-2</v>
      </c>
      <c r="AN10" s="35">
        <f t="shared" si="6"/>
        <v>-0.134391604156998</v>
      </c>
    </row>
    <row r="11" spans="1:40" s="49" customFormat="1" ht="16" customHeight="1" x14ac:dyDescent="0.2">
      <c r="A11" s="20" t="s">
        <v>101</v>
      </c>
      <c r="B11" s="20" t="s">
        <v>102</v>
      </c>
      <c r="C11" s="20" t="s">
        <v>103</v>
      </c>
      <c r="D11" s="21" t="s">
        <v>53</v>
      </c>
      <c r="E11" s="22" t="s">
        <v>104</v>
      </c>
      <c r="F11" s="20" t="s">
        <v>67</v>
      </c>
      <c r="G11" s="20">
        <v>-19.582999999999998</v>
      </c>
      <c r="H11" s="20">
        <v>31.233000000000001</v>
      </c>
      <c r="I11" s="23">
        <v>36800</v>
      </c>
      <c r="J11" s="23">
        <v>37530</v>
      </c>
      <c r="K11" s="20" t="s">
        <v>105</v>
      </c>
      <c r="L11" s="20">
        <v>2</v>
      </c>
      <c r="M11" s="20"/>
      <c r="N11" s="36"/>
      <c r="O11" s="40"/>
      <c r="P11" s="26">
        <v>16.899999999999999</v>
      </c>
      <c r="Q11" s="20"/>
      <c r="R11" s="36"/>
      <c r="S11" s="26"/>
      <c r="T11" s="26">
        <v>16.8</v>
      </c>
      <c r="U11" s="20">
        <v>0.2</v>
      </c>
      <c r="V11" s="20" t="s">
        <v>59</v>
      </c>
      <c r="W11" s="20">
        <v>1.4</v>
      </c>
      <c r="X11" s="20">
        <v>1.43</v>
      </c>
      <c r="Y11" s="44" t="s">
        <v>60</v>
      </c>
      <c r="Z11" s="29"/>
      <c r="AA11" s="30" t="s">
        <v>106</v>
      </c>
      <c r="AB11" s="31">
        <v>22</v>
      </c>
      <c r="AC11" s="28" t="s">
        <v>60</v>
      </c>
      <c r="AD11" s="53" t="s">
        <v>107</v>
      </c>
      <c r="AE11" s="22">
        <v>4.6669999999999998</v>
      </c>
      <c r="AF11" s="22">
        <v>3</v>
      </c>
      <c r="AG11" s="33">
        <f t="shared" si="2"/>
        <v>-9.9999999999997868E-2</v>
      </c>
      <c r="AH11" s="34">
        <f t="shared" si="3"/>
        <v>-4.9999999999998934E-2</v>
      </c>
      <c r="AI11">
        <v>16.534385109090799</v>
      </c>
      <c r="AJ11" s="34">
        <f t="shared" si="4"/>
        <v>-0.36561489090919963</v>
      </c>
      <c r="AK11" s="34">
        <f t="shared" si="5"/>
        <v>-0.18280744545459982</v>
      </c>
      <c r="AL11" s="35">
        <f t="shared" si="7"/>
        <v>-0.26561489090920176</v>
      </c>
      <c r="AM11" s="35">
        <f t="shared" si="7"/>
        <v>-0.13280744545460088</v>
      </c>
      <c r="AN11" s="35">
        <f t="shared" si="6"/>
        <v>-0.21354398223219873</v>
      </c>
    </row>
    <row r="12" spans="1:40" s="49" customFormat="1" ht="16" customHeight="1" x14ac:dyDescent="0.2">
      <c r="A12" s="20" t="s">
        <v>108</v>
      </c>
      <c r="B12" s="20" t="s">
        <v>109</v>
      </c>
      <c r="C12" s="20" t="s">
        <v>110</v>
      </c>
      <c r="D12" s="21" t="s">
        <v>53</v>
      </c>
      <c r="E12" s="22" t="s">
        <v>111</v>
      </c>
      <c r="F12" s="20" t="s">
        <v>79</v>
      </c>
      <c r="G12" s="20">
        <v>13.0785</v>
      </c>
      <c r="H12" s="20">
        <v>77.570115999999999</v>
      </c>
      <c r="I12" s="23">
        <v>39288</v>
      </c>
      <c r="J12" s="23">
        <v>39387</v>
      </c>
      <c r="K12" s="20" t="s">
        <v>68</v>
      </c>
      <c r="L12" s="20">
        <v>1</v>
      </c>
      <c r="M12" s="20"/>
      <c r="N12" s="36"/>
      <c r="O12" s="54">
        <v>0.56000000000000005</v>
      </c>
      <c r="P12" s="26">
        <f>10000*W12*U12*(O12/100)</f>
        <v>11.491200000000001</v>
      </c>
      <c r="Q12" s="20"/>
      <c r="R12" s="36"/>
      <c r="S12" s="27">
        <v>0.54</v>
      </c>
      <c r="T12" s="26">
        <f>10000*U12*X12*(S12/100)</f>
        <v>11.0808</v>
      </c>
      <c r="U12" s="20">
        <v>0.15</v>
      </c>
      <c r="V12" s="20" t="s">
        <v>59</v>
      </c>
      <c r="W12" s="55">
        <v>1.3680000000000001</v>
      </c>
      <c r="X12" s="55">
        <v>1.3680000000000001</v>
      </c>
      <c r="Y12" s="28" t="s">
        <v>70</v>
      </c>
      <c r="Z12" s="29"/>
      <c r="AA12" s="30" t="s">
        <v>106</v>
      </c>
      <c r="AB12" s="31">
        <v>17.399999999999999</v>
      </c>
      <c r="AC12" s="28" t="s">
        <v>60</v>
      </c>
      <c r="AD12" t="s">
        <v>112</v>
      </c>
      <c r="AE12" s="22">
        <v>4.6669999999999998</v>
      </c>
      <c r="AF12" s="22">
        <v>1</v>
      </c>
      <c r="AG12" s="33">
        <f t="shared" si="2"/>
        <v>-0.41040000000000099</v>
      </c>
      <c r="AH12" s="34">
        <f t="shared" si="3"/>
        <v>-0.41040000000000099</v>
      </c>
      <c r="AI12">
        <v>11.3009976435004</v>
      </c>
      <c r="AJ12" s="34">
        <f t="shared" si="4"/>
        <v>-0.19020235649960071</v>
      </c>
      <c r="AK12" s="34">
        <f t="shared" si="5"/>
        <v>-0.19020235649960071</v>
      </c>
      <c r="AL12" s="35">
        <f t="shared" si="7"/>
        <v>0.22019764350040028</v>
      </c>
      <c r="AM12" s="35">
        <f t="shared" si="7"/>
        <v>0.22019764350040028</v>
      </c>
      <c r="AN12" s="35">
        <f t="shared" si="6"/>
        <v>0.13946110672280243</v>
      </c>
    </row>
    <row r="13" spans="1:40" s="56" customFormat="1" ht="16" customHeight="1" x14ac:dyDescent="0.2">
      <c r="A13" s="20" t="s">
        <v>113</v>
      </c>
      <c r="B13" s="20" t="s">
        <v>114</v>
      </c>
      <c r="C13" s="20" t="s">
        <v>115</v>
      </c>
      <c r="D13" s="21" t="s">
        <v>53</v>
      </c>
      <c r="E13" s="20" t="s">
        <v>116</v>
      </c>
      <c r="F13" s="20" t="s">
        <v>55</v>
      </c>
      <c r="G13" s="20">
        <v>-37.865299999999998</v>
      </c>
      <c r="H13" s="20">
        <v>-63.022199999999998</v>
      </c>
      <c r="I13" s="23">
        <v>30437</v>
      </c>
      <c r="J13" s="23">
        <v>35034</v>
      </c>
      <c r="K13" s="20" t="s">
        <v>56</v>
      </c>
      <c r="L13" s="20">
        <v>12</v>
      </c>
      <c r="M13" s="20"/>
      <c r="N13" s="36"/>
      <c r="O13" s="36">
        <v>1.28</v>
      </c>
      <c r="P13" s="26">
        <f>10000*W13*U13*(O13/100)</f>
        <v>26.495999999999995</v>
      </c>
      <c r="Q13" s="20"/>
      <c r="R13" s="36"/>
      <c r="S13" s="26">
        <v>0.95</v>
      </c>
      <c r="T13" s="26">
        <f>10000*U13*X13*(S13/100)</f>
        <v>19.664999999999999</v>
      </c>
      <c r="U13" s="20">
        <v>0.15</v>
      </c>
      <c r="V13" s="20" t="s">
        <v>93</v>
      </c>
      <c r="W13" s="20">
        <v>1.38</v>
      </c>
      <c r="X13" s="20">
        <v>1.38</v>
      </c>
      <c r="Y13" s="28" t="s">
        <v>70</v>
      </c>
      <c r="Z13" s="29"/>
      <c r="AA13" s="30" t="s">
        <v>81</v>
      </c>
      <c r="AB13" s="31">
        <v>10.1</v>
      </c>
      <c r="AC13" s="28" t="s">
        <v>60</v>
      </c>
      <c r="AD13" s="47" t="s">
        <v>117</v>
      </c>
      <c r="AE13" s="22">
        <v>4.6669999999999998</v>
      </c>
      <c r="AF13" s="22">
        <v>1</v>
      </c>
      <c r="AG13" s="33">
        <f t="shared" si="2"/>
        <v>-6.830999999999996</v>
      </c>
      <c r="AH13" s="34">
        <f t="shared" si="3"/>
        <v>-0.5692499999999997</v>
      </c>
      <c r="AI13">
        <v>25.767991988318201</v>
      </c>
      <c r="AJ13" s="34">
        <f t="shared" si="4"/>
        <v>-0.72800801168179419</v>
      </c>
      <c r="AK13" s="34">
        <f t="shared" si="5"/>
        <v>-6.066733430681618E-2</v>
      </c>
      <c r="AL13" s="35">
        <f t="shared" si="7"/>
        <v>6.1029919883182018</v>
      </c>
      <c r="AM13" s="35">
        <f t="shared" si="7"/>
        <v>0.50858266569318356</v>
      </c>
      <c r="AN13" s="35">
        <f t="shared" si="6"/>
        <v>0.42784612891558571</v>
      </c>
    </row>
    <row r="14" spans="1:40" s="56" customFormat="1" ht="16" customHeight="1" x14ac:dyDescent="0.2">
      <c r="A14" s="20" t="s">
        <v>118</v>
      </c>
      <c r="B14" s="20" t="s">
        <v>119</v>
      </c>
      <c r="C14" s="20" t="s">
        <v>120</v>
      </c>
      <c r="D14" s="21" t="s">
        <v>53</v>
      </c>
      <c r="E14" s="22" t="s">
        <v>121</v>
      </c>
      <c r="F14" s="20" t="s">
        <v>55</v>
      </c>
      <c r="G14" s="20">
        <v>-26.495000000000001</v>
      </c>
      <c r="H14" s="20">
        <v>26.601944</v>
      </c>
      <c r="I14" s="23">
        <v>39753</v>
      </c>
      <c r="J14" s="23">
        <v>41759</v>
      </c>
      <c r="K14" s="20" t="s">
        <v>105</v>
      </c>
      <c r="L14" s="20">
        <v>6</v>
      </c>
      <c r="M14" s="20"/>
      <c r="N14" s="36"/>
      <c r="O14" s="26">
        <v>0.43</v>
      </c>
      <c r="P14" s="26">
        <f>10000*W14*U14*(O14/100)</f>
        <v>20.64</v>
      </c>
      <c r="Q14" s="20"/>
      <c r="R14" s="36"/>
      <c r="S14" s="26">
        <v>0.34</v>
      </c>
      <c r="T14" s="26">
        <f>10000*U14*X14*(S14/100)</f>
        <v>16.32</v>
      </c>
      <c r="U14" s="20">
        <v>0.3</v>
      </c>
      <c r="V14" s="20" t="s">
        <v>59</v>
      </c>
      <c r="W14" s="20">
        <v>1.6</v>
      </c>
      <c r="X14" s="20">
        <v>1.6</v>
      </c>
      <c r="Y14" s="28" t="s">
        <v>60</v>
      </c>
      <c r="Z14" s="29"/>
      <c r="AA14" s="30" t="s">
        <v>106</v>
      </c>
      <c r="AB14" s="31">
        <v>16</v>
      </c>
      <c r="AC14" s="28" t="s">
        <v>60</v>
      </c>
      <c r="AD14" s="53" t="s">
        <v>122</v>
      </c>
      <c r="AE14" s="22">
        <v>4.6669999999999998</v>
      </c>
      <c r="AF14" s="22">
        <v>3</v>
      </c>
      <c r="AG14" s="33">
        <f t="shared" si="2"/>
        <v>-4.32</v>
      </c>
      <c r="AH14" s="34">
        <f t="shared" si="3"/>
        <v>-0.72000000000000008</v>
      </c>
      <c r="AI14">
        <v>20.0580844517484</v>
      </c>
      <c r="AJ14" s="34">
        <f t="shared" si="4"/>
        <v>-0.58191554825160097</v>
      </c>
      <c r="AK14" s="34">
        <f t="shared" si="5"/>
        <v>-9.6985924708600166E-2</v>
      </c>
      <c r="AL14" s="35">
        <f t="shared" si="7"/>
        <v>3.7380844517483993</v>
      </c>
      <c r="AM14" s="35">
        <f t="shared" si="7"/>
        <v>0.62301407529139996</v>
      </c>
      <c r="AN14" s="35">
        <f t="shared" si="6"/>
        <v>0.54227753851380212</v>
      </c>
    </row>
    <row r="15" spans="1:40" s="56" customFormat="1" ht="16" customHeight="1" x14ac:dyDescent="0.2">
      <c r="A15" s="20" t="s">
        <v>118</v>
      </c>
      <c r="B15" s="20" t="s">
        <v>119</v>
      </c>
      <c r="C15" s="20" t="s">
        <v>123</v>
      </c>
      <c r="D15" s="21" t="s">
        <v>53</v>
      </c>
      <c r="E15" s="22" t="s">
        <v>124</v>
      </c>
      <c r="F15" s="20" t="s">
        <v>125</v>
      </c>
      <c r="G15" s="20">
        <v>-25.615278</v>
      </c>
      <c r="H15" s="20">
        <v>28.315556000000001</v>
      </c>
      <c r="I15" s="23">
        <v>39753</v>
      </c>
      <c r="J15" s="23">
        <v>41394</v>
      </c>
      <c r="K15" s="20" t="s">
        <v>105</v>
      </c>
      <c r="L15" s="20">
        <v>5</v>
      </c>
      <c r="M15" s="20"/>
      <c r="N15" s="36"/>
      <c r="O15" s="57">
        <v>1.24</v>
      </c>
      <c r="P15" s="26">
        <f>10000*W15*U15*(O15/100)</f>
        <v>53.94</v>
      </c>
      <c r="Q15" s="20"/>
      <c r="R15" s="36"/>
      <c r="S15" s="26">
        <v>1.2250000000000001</v>
      </c>
      <c r="T15" s="26">
        <f>10000*U15*X15*(S15/100)</f>
        <v>53.287500000000001</v>
      </c>
      <c r="U15" s="20">
        <v>0.3</v>
      </c>
      <c r="V15" s="20" t="s">
        <v>59</v>
      </c>
      <c r="W15" s="20">
        <v>1.45</v>
      </c>
      <c r="X15" s="20">
        <v>1.45</v>
      </c>
      <c r="Y15" s="28" t="s">
        <v>60</v>
      </c>
      <c r="Z15" s="29"/>
      <c r="AA15" s="30" t="s">
        <v>106</v>
      </c>
      <c r="AB15" s="31">
        <v>44.5</v>
      </c>
      <c r="AC15" s="28" t="s">
        <v>60</v>
      </c>
      <c r="AD15" s="53" t="s">
        <v>122</v>
      </c>
      <c r="AE15" s="22">
        <v>4.6669999999999998</v>
      </c>
      <c r="AF15" s="22">
        <v>3</v>
      </c>
      <c r="AG15" s="33">
        <f t="shared" si="2"/>
        <v>-0.65249999999999631</v>
      </c>
      <c r="AH15" s="34">
        <f t="shared" si="3"/>
        <v>-0.13049999999999926</v>
      </c>
      <c r="AI15">
        <v>53.346019142306403</v>
      </c>
      <c r="AJ15" s="34">
        <f t="shared" si="4"/>
        <v>-0.59398085769359454</v>
      </c>
      <c r="AK15" s="34">
        <f t="shared" si="5"/>
        <v>-0.11879617153871891</v>
      </c>
      <c r="AL15" s="35">
        <f t="shared" si="7"/>
        <v>5.8519142306401761E-2</v>
      </c>
      <c r="AM15" s="35">
        <f t="shared" si="7"/>
        <v>1.1703828461280347E-2</v>
      </c>
      <c r="AN15" s="35">
        <f t="shared" si="6"/>
        <v>-6.9032708316317512E-2</v>
      </c>
    </row>
    <row r="16" spans="1:40" s="56" customFormat="1" ht="16" customHeight="1" x14ac:dyDescent="0.2">
      <c r="A16" s="20" t="s">
        <v>126</v>
      </c>
      <c r="B16" s="20" t="s">
        <v>127</v>
      </c>
      <c r="C16" s="20" t="s">
        <v>128</v>
      </c>
      <c r="D16" s="21" t="s">
        <v>53</v>
      </c>
      <c r="E16" s="22" t="s">
        <v>129</v>
      </c>
      <c r="F16" s="20" t="s">
        <v>55</v>
      </c>
      <c r="G16" s="20">
        <v>36.81306</v>
      </c>
      <c r="H16" s="20">
        <v>120.50472000000001</v>
      </c>
      <c r="I16" s="23">
        <v>42856</v>
      </c>
      <c r="J16" s="23">
        <v>44378</v>
      </c>
      <c r="K16" s="20" t="s">
        <v>68</v>
      </c>
      <c r="L16" s="20">
        <v>4</v>
      </c>
      <c r="M16" s="41" t="s">
        <v>130</v>
      </c>
      <c r="N16" s="37">
        <v>11.9</v>
      </c>
      <c r="O16" s="26">
        <f>(N16/1.724)/10</f>
        <v>0.69025522041763343</v>
      </c>
      <c r="P16" s="26">
        <f>10000*W16*U16*(O16/100)</f>
        <v>28.63868909512761</v>
      </c>
      <c r="Q16" s="20" t="s">
        <v>87</v>
      </c>
      <c r="R16" s="27">
        <v>6.47</v>
      </c>
      <c r="S16" s="36">
        <f>R16/10</f>
        <v>0.64700000000000002</v>
      </c>
      <c r="T16" s="26">
        <f>10000*U16*X16*(S16/100)</f>
        <v>26.84403</v>
      </c>
      <c r="U16" s="20">
        <v>0.3</v>
      </c>
      <c r="V16" s="20" t="s">
        <v>59</v>
      </c>
      <c r="W16" s="41">
        <v>1.383</v>
      </c>
      <c r="X16" s="41">
        <v>1.383</v>
      </c>
      <c r="Y16" s="42" t="s">
        <v>70</v>
      </c>
      <c r="Z16" s="29"/>
      <c r="AA16" s="30" t="s">
        <v>61</v>
      </c>
      <c r="AB16" s="46">
        <v>18.86976744</v>
      </c>
      <c r="AC16" s="48" t="s">
        <v>70</v>
      </c>
      <c r="AD16" s="43" t="s">
        <v>131</v>
      </c>
      <c r="AE16" s="22">
        <v>4.6669999999999998</v>
      </c>
      <c r="AF16" s="22">
        <v>1</v>
      </c>
      <c r="AG16" s="33">
        <f t="shared" si="2"/>
        <v>-1.79465909512761</v>
      </c>
      <c r="AH16" s="34">
        <f t="shared" si="3"/>
        <v>-0.4486647737819025</v>
      </c>
      <c r="AI16">
        <v>28.154294959070199</v>
      </c>
      <c r="AJ16" s="34">
        <f t="shared" si="4"/>
        <v>-0.48439413605741066</v>
      </c>
      <c r="AK16" s="34">
        <f t="shared" si="5"/>
        <v>-0.12109853401435267</v>
      </c>
      <c r="AL16" s="35">
        <f t="shared" si="7"/>
        <v>1.3102649590701994</v>
      </c>
      <c r="AM16" s="35">
        <f t="shared" si="7"/>
        <v>0.32756623976754984</v>
      </c>
      <c r="AN16" s="35">
        <f t="shared" si="6"/>
        <v>0.24682970298995199</v>
      </c>
    </row>
    <row r="17" spans="1:39" x14ac:dyDescent="0.2"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</row>
    <row r="18" spans="1:39" x14ac:dyDescent="0.2"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9" ht="28" customHeight="1" x14ac:dyDescent="0.25">
      <c r="A19" s="59" t="s">
        <v>132</v>
      </c>
      <c r="G19" s="60"/>
      <c r="H19" s="60"/>
      <c r="I19" s="60"/>
      <c r="J19" s="61"/>
      <c r="K19" s="6"/>
      <c r="L19" s="7"/>
      <c r="M19" s="60"/>
      <c r="O19" s="60"/>
      <c r="P19" s="62"/>
      <c r="Q19" s="62"/>
      <c r="R19" s="60"/>
      <c r="S19" s="60"/>
      <c r="T19" s="62"/>
      <c r="U19" s="62"/>
      <c r="V19" s="63"/>
      <c r="W19" s="8"/>
      <c r="Y19" s="60"/>
      <c r="Z19" s="60"/>
      <c r="AA19" s="60"/>
      <c r="AB19" s="60"/>
      <c r="AC19" s="6"/>
    </row>
    <row r="20" spans="1:39" s="19" customFormat="1" ht="86" customHeight="1" x14ac:dyDescent="0.2">
      <c r="A20" s="64" t="s">
        <v>11</v>
      </c>
      <c r="B20" s="65" t="s">
        <v>133</v>
      </c>
      <c r="C20" s="65" t="s">
        <v>134</v>
      </c>
      <c r="D20" s="66" t="s">
        <v>135</v>
      </c>
      <c r="E20" s="65" t="s">
        <v>136</v>
      </c>
      <c r="F20" s="65" t="s">
        <v>137</v>
      </c>
      <c r="G20" s="67"/>
      <c r="J20" s="68"/>
      <c r="K20" s="69"/>
      <c r="L20" s="69"/>
      <c r="M20" s="69"/>
      <c r="N20" s="69"/>
      <c r="O20" s="69"/>
      <c r="P20" s="70"/>
      <c r="Q20" s="70"/>
      <c r="R20" s="69"/>
      <c r="S20" s="69"/>
      <c r="T20" s="70"/>
      <c r="U20" s="70"/>
      <c r="V20" s="68"/>
      <c r="W20" s="68"/>
      <c r="X20" s="68"/>
    </row>
    <row r="21" spans="1:39" ht="15.75" customHeight="1" x14ac:dyDescent="0.2">
      <c r="A21" s="20" t="s">
        <v>51</v>
      </c>
      <c r="B21" s="22">
        <v>3</v>
      </c>
      <c r="C21" s="29" t="s">
        <v>55</v>
      </c>
      <c r="D21" s="71">
        <v>4.6669999999999998</v>
      </c>
      <c r="E21" s="72">
        <f>L4</f>
        <v>2</v>
      </c>
      <c r="F21" s="73">
        <f>D21/E21</f>
        <v>2.3334999999999999</v>
      </c>
      <c r="G21" s="60"/>
      <c r="H21" s="60"/>
      <c r="I21"/>
      <c r="J21"/>
      <c r="K21"/>
      <c r="O21"/>
      <c r="P21"/>
      <c r="Q21"/>
      <c r="R21"/>
      <c r="Z21"/>
    </row>
    <row r="22" spans="1:39" ht="15" customHeight="1" x14ac:dyDescent="0.2">
      <c r="A22" s="20" t="s">
        <v>64</v>
      </c>
      <c r="B22" s="22">
        <v>4</v>
      </c>
      <c r="C22" s="29" t="s">
        <v>67</v>
      </c>
      <c r="D22" s="71">
        <v>2.3419376592898402</v>
      </c>
      <c r="E22" s="72">
        <f>AVERAGE(L5:L6)</f>
        <v>1</v>
      </c>
      <c r="F22" s="73">
        <f>SQRT(AVERAGE(((AE5/L5)^2),((AE6/L6)^2)))</f>
        <v>2.3419376592898402</v>
      </c>
      <c r="G22" s="60"/>
      <c r="H22" s="60"/>
      <c r="I22"/>
      <c r="J22"/>
      <c r="K22"/>
      <c r="O22"/>
      <c r="P22"/>
      <c r="Q22"/>
      <c r="R22"/>
      <c r="Z22"/>
    </row>
    <row r="23" spans="1:39" ht="15.75" customHeight="1" x14ac:dyDescent="0.2">
      <c r="A23" s="20" t="s">
        <v>76</v>
      </c>
      <c r="B23" s="22">
        <v>1</v>
      </c>
      <c r="C23" s="29" t="s">
        <v>79</v>
      </c>
      <c r="D23" s="71">
        <v>4.6669999999999998</v>
      </c>
      <c r="E23" s="72">
        <f t="shared" ref="E23:E29" si="8">L7</f>
        <v>1</v>
      </c>
      <c r="F23" s="73">
        <f t="shared" ref="F23:F29" si="9">D23/E23</f>
        <v>4.6669999999999998</v>
      </c>
      <c r="G23" s="60"/>
      <c r="H23" s="60"/>
      <c r="I23"/>
      <c r="J23"/>
      <c r="K23"/>
      <c r="O23"/>
      <c r="P23"/>
      <c r="Q23"/>
      <c r="R23"/>
      <c r="Z23"/>
    </row>
    <row r="24" spans="1:39" ht="15.75" customHeight="1" x14ac:dyDescent="0.2">
      <c r="A24" s="20" t="s">
        <v>84</v>
      </c>
      <c r="B24" s="22">
        <v>1</v>
      </c>
      <c r="C24" s="29" t="s">
        <v>67</v>
      </c>
      <c r="D24" s="71">
        <v>4.6669999999999998</v>
      </c>
      <c r="E24" s="72">
        <f t="shared" si="8"/>
        <v>2</v>
      </c>
      <c r="F24" s="73">
        <f t="shared" si="9"/>
        <v>2.3334999999999999</v>
      </c>
      <c r="G24" s="60"/>
      <c r="H24" s="60"/>
      <c r="I24"/>
      <c r="J24"/>
      <c r="K24"/>
      <c r="O24"/>
      <c r="P24"/>
      <c r="Q24"/>
      <c r="R24"/>
      <c r="Z24"/>
    </row>
    <row r="25" spans="1:39" ht="15.75" customHeight="1" x14ac:dyDescent="0.2">
      <c r="A25" s="20" t="s">
        <v>90</v>
      </c>
      <c r="B25" s="22">
        <v>1</v>
      </c>
      <c r="C25" s="29" t="s">
        <v>79</v>
      </c>
      <c r="D25" s="71">
        <v>4.6669999999999998</v>
      </c>
      <c r="E25" s="72">
        <f t="shared" si="8"/>
        <v>2</v>
      </c>
      <c r="F25" s="73">
        <f t="shared" si="9"/>
        <v>2.3334999999999999</v>
      </c>
      <c r="G25" s="60"/>
      <c r="H25" s="60"/>
      <c r="I25"/>
      <c r="J25"/>
      <c r="K25"/>
      <c r="O25"/>
      <c r="P25"/>
      <c r="Q25"/>
      <c r="R25"/>
      <c r="Z25"/>
    </row>
    <row r="26" spans="1:39" ht="15.75" customHeight="1" x14ac:dyDescent="0.2">
      <c r="A26" s="20" t="s">
        <v>97</v>
      </c>
      <c r="B26" s="22">
        <v>1</v>
      </c>
      <c r="C26" s="29" t="s">
        <v>55</v>
      </c>
      <c r="D26" s="71">
        <v>4.6669999999999998</v>
      </c>
      <c r="E26" s="72">
        <f t="shared" si="8"/>
        <v>12</v>
      </c>
      <c r="F26" s="73">
        <f t="shared" si="9"/>
        <v>0.38891666666666663</v>
      </c>
      <c r="G26" s="60"/>
      <c r="H26" s="60"/>
      <c r="I26"/>
      <c r="J26"/>
      <c r="K26"/>
      <c r="O26"/>
      <c r="P26"/>
      <c r="Q26"/>
      <c r="R26"/>
      <c r="Z26"/>
    </row>
    <row r="27" spans="1:39" ht="15.75" customHeight="1" x14ac:dyDescent="0.2">
      <c r="A27" s="20" t="s">
        <v>102</v>
      </c>
      <c r="B27" s="22">
        <v>3</v>
      </c>
      <c r="C27" s="29" t="s">
        <v>67</v>
      </c>
      <c r="D27" s="71">
        <v>4.6669999999999998</v>
      </c>
      <c r="E27" s="72">
        <f t="shared" si="8"/>
        <v>2</v>
      </c>
      <c r="F27" s="73">
        <f t="shared" si="9"/>
        <v>2.3334999999999999</v>
      </c>
      <c r="G27" s="60"/>
      <c r="H27" s="60"/>
      <c r="I27"/>
      <c r="J27"/>
      <c r="K27"/>
      <c r="O27"/>
      <c r="P27"/>
      <c r="Q27"/>
      <c r="R27"/>
      <c r="Z27"/>
    </row>
    <row r="28" spans="1:39" ht="15.75" customHeight="1" x14ac:dyDescent="0.2">
      <c r="A28" s="20" t="s">
        <v>109</v>
      </c>
      <c r="B28" s="22">
        <v>1</v>
      </c>
      <c r="C28" s="29" t="s">
        <v>79</v>
      </c>
      <c r="D28" s="71">
        <v>4.6669999999999998</v>
      </c>
      <c r="E28" s="72">
        <f t="shared" si="8"/>
        <v>1</v>
      </c>
      <c r="F28" s="73">
        <f t="shared" si="9"/>
        <v>4.6669999999999998</v>
      </c>
      <c r="G28" s="60"/>
      <c r="H28" s="60"/>
      <c r="I28"/>
      <c r="J28"/>
      <c r="K28"/>
      <c r="O28"/>
      <c r="P28"/>
      <c r="Q28"/>
      <c r="R28"/>
      <c r="Z28"/>
    </row>
    <row r="29" spans="1:39" ht="15.75" customHeight="1" x14ac:dyDescent="0.2">
      <c r="A29" s="20" t="s">
        <v>114</v>
      </c>
      <c r="B29" s="22">
        <v>1</v>
      </c>
      <c r="C29" s="29" t="s">
        <v>55</v>
      </c>
      <c r="D29" s="71">
        <v>4.6669999999999998</v>
      </c>
      <c r="E29" s="72">
        <f t="shared" si="8"/>
        <v>12</v>
      </c>
      <c r="F29" s="73">
        <f t="shared" si="9"/>
        <v>0.38891666666666663</v>
      </c>
      <c r="G29" s="60"/>
      <c r="H29" s="60"/>
      <c r="I29"/>
      <c r="J29"/>
      <c r="K29"/>
      <c r="O29"/>
      <c r="P29"/>
      <c r="Q29"/>
      <c r="R29"/>
      <c r="Z29"/>
    </row>
    <row r="30" spans="1:39" ht="15.75" customHeight="1" x14ac:dyDescent="0.2">
      <c r="A30" s="20" t="s">
        <v>119</v>
      </c>
      <c r="B30" s="22">
        <v>6</v>
      </c>
      <c r="C30" s="29" t="s">
        <v>55</v>
      </c>
      <c r="D30" s="71">
        <v>4.6669999999999998</v>
      </c>
      <c r="E30" s="72">
        <f>AVERAGE(L14:L15)</f>
        <v>5.5</v>
      </c>
      <c r="F30" s="73">
        <f>SQRT(AVERAGE(((AE14/L14)^2),((AE15/L15)^2)))</f>
        <v>0.85914499778688236</v>
      </c>
      <c r="G30" s="60"/>
      <c r="H30" s="60"/>
      <c r="I30"/>
      <c r="J30"/>
      <c r="K30"/>
      <c r="O30"/>
      <c r="P30"/>
      <c r="Q30"/>
      <c r="R30"/>
      <c r="Z30"/>
    </row>
    <row r="31" spans="1:39" ht="15.75" customHeight="1" x14ac:dyDescent="0.2">
      <c r="A31" s="20" t="s">
        <v>127</v>
      </c>
      <c r="B31" s="22">
        <v>1</v>
      </c>
      <c r="C31" s="29" t="s">
        <v>55</v>
      </c>
      <c r="D31" s="71">
        <v>4.6669999999999998</v>
      </c>
      <c r="E31" s="72">
        <f>L16</f>
        <v>4</v>
      </c>
      <c r="F31" s="73">
        <f>D31/E31</f>
        <v>1.16675</v>
      </c>
      <c r="G31" s="60"/>
      <c r="H31" s="60"/>
      <c r="I31"/>
      <c r="J31"/>
      <c r="K31"/>
      <c r="O31"/>
      <c r="P31"/>
      <c r="Q31"/>
      <c r="R31"/>
      <c r="Z31"/>
    </row>
    <row r="32" spans="1:39" x14ac:dyDescent="0.2">
      <c r="AI32" s="58"/>
      <c r="AJ32" s="58"/>
      <c r="AK32" s="58"/>
      <c r="AL32" s="58"/>
    </row>
    <row r="33" spans="1:38" x14ac:dyDescent="0.2">
      <c r="AI33" s="58"/>
      <c r="AJ33" s="58"/>
      <c r="AK33" s="58"/>
      <c r="AL33" s="58"/>
    </row>
    <row r="34" spans="1:38" ht="15.75" customHeight="1" x14ac:dyDescent="0.3">
      <c r="A34" s="9" t="s">
        <v>138</v>
      </c>
      <c r="AI34" s="58"/>
      <c r="AJ34" s="58"/>
      <c r="AK34" s="58"/>
      <c r="AL34" s="58"/>
    </row>
    <row r="35" spans="1:38" s="19" customFormat="1" ht="72" customHeight="1" x14ac:dyDescent="0.2">
      <c r="A35" s="74" t="s">
        <v>139</v>
      </c>
      <c r="H35" s="68"/>
      <c r="I35" s="68"/>
      <c r="J35" s="67"/>
      <c r="N35" s="68"/>
      <c r="O35" s="69"/>
      <c r="P35" s="69"/>
      <c r="Q35" s="69"/>
      <c r="Y35" s="68"/>
      <c r="AH35" s="75"/>
      <c r="AI35" s="75"/>
      <c r="AJ35" s="75"/>
      <c r="AK35" s="75"/>
    </row>
    <row r="36" spans="1:38" ht="35" customHeight="1" x14ac:dyDescent="0.2">
      <c r="A36" s="65" cm="1">
        <f t="array" ref="A36">SQRT(SUM((F21:F31)^2 *( B21:B31 -1)) / (SUM(B21:B31 -1)))</f>
        <v>1.8691699502745203</v>
      </c>
      <c r="B36" s="76"/>
      <c r="C36" s="76"/>
      <c r="H36" s="6"/>
      <c r="J36" s="7"/>
      <c r="K36"/>
      <c r="N36" s="6"/>
      <c r="O36" s="8"/>
      <c r="R36"/>
      <c r="Y36" s="6"/>
      <c r="Z36"/>
      <c r="AH36" s="75"/>
      <c r="AI36" s="75"/>
      <c r="AJ36" s="75"/>
      <c r="AK36" s="75"/>
    </row>
    <row r="37" spans="1:38" ht="15.75" customHeight="1" x14ac:dyDescent="0.2">
      <c r="B37" s="8"/>
      <c r="AI37" s="58"/>
      <c r="AJ37" s="58"/>
      <c r="AK37" s="58"/>
      <c r="AL37" s="58"/>
    </row>
    <row r="38" spans="1:38" ht="15.75" customHeight="1" x14ac:dyDescent="0.2">
      <c r="B38" s="8"/>
      <c r="AI38" s="58"/>
      <c r="AJ38" s="58"/>
      <c r="AK38" s="58"/>
      <c r="AL38" s="58"/>
    </row>
    <row r="39" spans="1:38" ht="15.75" customHeight="1" x14ac:dyDescent="0.2">
      <c r="B39" s="8"/>
      <c r="AI39" s="58"/>
      <c r="AJ39" s="58"/>
      <c r="AK39" s="58"/>
      <c r="AL39" s="58"/>
    </row>
    <row r="40" spans="1:38" ht="22" x14ac:dyDescent="0.3">
      <c r="A40" s="9" t="s">
        <v>140</v>
      </c>
      <c r="G40" s="77"/>
      <c r="I40"/>
      <c r="J40"/>
      <c r="K40"/>
      <c r="O40"/>
      <c r="P40"/>
      <c r="Q40"/>
      <c r="R40"/>
      <c r="Z40"/>
    </row>
    <row r="41" spans="1:38" s="80" customFormat="1" ht="51" x14ac:dyDescent="0.2">
      <c r="A41" s="78" t="s">
        <v>11</v>
      </c>
      <c r="B41" s="79" t="s">
        <v>141</v>
      </c>
      <c r="C41" s="79" t="s">
        <v>142</v>
      </c>
    </row>
    <row r="42" spans="1:38" x14ac:dyDescent="0.2">
      <c r="A42" t="s">
        <v>51</v>
      </c>
      <c r="B42" s="81">
        <f>AVERAGE(AM4)</f>
        <v>0.39782784967351059</v>
      </c>
      <c r="C42" t="str">
        <f xml:space="preserve"> IF(ABS(B42)&lt;$A$36, "PASS", "FAIL")</f>
        <v>PASS</v>
      </c>
      <c r="I42"/>
      <c r="J42"/>
      <c r="K42"/>
      <c r="O42"/>
      <c r="P42"/>
      <c r="Q42"/>
      <c r="R42"/>
      <c r="Z42"/>
    </row>
    <row r="43" spans="1:38" x14ac:dyDescent="0.2">
      <c r="A43" t="s">
        <v>64</v>
      </c>
      <c r="B43" s="81">
        <f>AVERAGE(AM5:AM6)</f>
        <v>-0.38187083240075026</v>
      </c>
      <c r="C43" t="str">
        <f t="shared" ref="C43:C51" si="10" xml:space="preserve"> IF(ABS(B43)&lt;$A$36, "PASS", "FAIL")</f>
        <v>PASS</v>
      </c>
      <c r="I43"/>
      <c r="J43"/>
      <c r="K43"/>
      <c r="O43"/>
      <c r="P43"/>
      <c r="Q43"/>
      <c r="R43"/>
      <c r="Z43"/>
    </row>
    <row r="44" spans="1:38" x14ac:dyDescent="0.2">
      <c r="A44" t="s">
        <v>76</v>
      </c>
      <c r="B44" s="81">
        <f t="shared" ref="B44:B50" si="11">AVERAGE(AM7)</f>
        <v>0.24230980772529875</v>
      </c>
      <c r="C44" t="str">
        <f t="shared" si="10"/>
        <v>PASS</v>
      </c>
      <c r="I44"/>
      <c r="J44"/>
      <c r="K44"/>
      <c r="O44"/>
      <c r="P44"/>
      <c r="Q44"/>
      <c r="R44"/>
      <c r="Z44"/>
    </row>
    <row r="45" spans="1:38" x14ac:dyDescent="0.2">
      <c r="A45" t="s">
        <v>84</v>
      </c>
      <c r="B45" s="81">
        <f t="shared" si="11"/>
        <v>0.24481647802160111</v>
      </c>
      <c r="C45" t="str">
        <f t="shared" si="10"/>
        <v>PASS</v>
      </c>
      <c r="I45"/>
      <c r="J45"/>
      <c r="K45"/>
      <c r="O45"/>
      <c r="P45"/>
      <c r="Q45"/>
      <c r="R45"/>
      <c r="Z45"/>
    </row>
    <row r="46" spans="1:38" x14ac:dyDescent="0.2">
      <c r="A46" t="s">
        <v>90</v>
      </c>
      <c r="B46" s="81">
        <f t="shared" si="11"/>
        <v>-0.57623943238995068</v>
      </c>
      <c r="C46" t="str">
        <f t="shared" si="10"/>
        <v>PASS</v>
      </c>
      <c r="I46"/>
      <c r="J46"/>
      <c r="K46"/>
      <c r="O46"/>
      <c r="P46"/>
      <c r="Q46"/>
      <c r="R46"/>
      <c r="Z46"/>
    </row>
    <row r="47" spans="1:38" x14ac:dyDescent="0.2">
      <c r="A47" t="s">
        <v>97</v>
      </c>
      <c r="B47" s="81">
        <f t="shared" si="11"/>
        <v>-5.3655067379400137E-2</v>
      </c>
      <c r="C47" t="str">
        <f t="shared" si="10"/>
        <v>PASS</v>
      </c>
      <c r="I47"/>
      <c r="J47"/>
      <c r="K47"/>
      <c r="O47"/>
      <c r="P47"/>
      <c r="Q47"/>
      <c r="R47"/>
      <c r="Z47"/>
    </row>
    <row r="48" spans="1:38" x14ac:dyDescent="0.2">
      <c r="A48" t="s">
        <v>102</v>
      </c>
      <c r="B48" s="81">
        <f t="shared" si="11"/>
        <v>-0.13280744545460088</v>
      </c>
      <c r="C48" t="str">
        <f t="shared" si="10"/>
        <v>PASS</v>
      </c>
      <c r="I48"/>
      <c r="J48"/>
      <c r="K48"/>
      <c r="O48"/>
      <c r="P48"/>
      <c r="Q48"/>
      <c r="R48"/>
      <c r="Z48"/>
    </row>
    <row r="49" spans="1:38" x14ac:dyDescent="0.2">
      <c r="A49" t="s">
        <v>109</v>
      </c>
      <c r="B49" s="81">
        <f t="shared" si="11"/>
        <v>0.22019764350040028</v>
      </c>
      <c r="C49" t="str">
        <f t="shared" si="10"/>
        <v>PASS</v>
      </c>
      <c r="I49"/>
      <c r="J49"/>
      <c r="K49"/>
      <c r="O49"/>
      <c r="P49"/>
      <c r="Q49"/>
      <c r="R49"/>
      <c r="Z49"/>
    </row>
    <row r="50" spans="1:38" x14ac:dyDescent="0.2">
      <c r="A50" t="s">
        <v>114</v>
      </c>
      <c r="B50" s="81">
        <f t="shared" si="11"/>
        <v>0.50858266569318356</v>
      </c>
      <c r="C50" t="str">
        <f t="shared" si="10"/>
        <v>PASS</v>
      </c>
      <c r="I50"/>
      <c r="J50"/>
      <c r="K50"/>
      <c r="O50"/>
      <c r="P50"/>
      <c r="Q50"/>
      <c r="R50"/>
      <c r="Z50"/>
    </row>
    <row r="51" spans="1:38" x14ac:dyDescent="0.2">
      <c r="A51" t="s">
        <v>119</v>
      </c>
      <c r="B51" s="81">
        <f>AVERAGE(AM14:AM15)</f>
        <v>0.31735895187634017</v>
      </c>
      <c r="C51" t="str">
        <f t="shared" si="10"/>
        <v>PASS</v>
      </c>
      <c r="I51"/>
      <c r="J51"/>
      <c r="K51"/>
      <c r="O51"/>
      <c r="P51"/>
      <c r="Q51"/>
      <c r="R51"/>
      <c r="Z51"/>
    </row>
    <row r="52" spans="1:38" x14ac:dyDescent="0.2">
      <c r="A52" t="s">
        <v>127</v>
      </c>
      <c r="B52" s="81">
        <f>AVERAGE(AM16)</f>
        <v>0.32756623976754984</v>
      </c>
      <c r="C52" t="str">
        <f xml:space="preserve"> IF(ABS(B52)&lt;$A$36, "PASS", "FAIL")</f>
        <v>PASS</v>
      </c>
      <c r="I52"/>
      <c r="J52"/>
      <c r="K52"/>
      <c r="O52"/>
      <c r="P52"/>
      <c r="Q52"/>
      <c r="R52"/>
      <c r="Z52"/>
    </row>
    <row r="53" spans="1:38" x14ac:dyDescent="0.2">
      <c r="A53" s="82" t="s">
        <v>143</v>
      </c>
      <c r="B53" s="83">
        <f>AVERAGE(B42:B52)</f>
        <v>0.10128062351210748</v>
      </c>
      <c r="C53" t="str">
        <f>IF(ABS(B53)&lt;$A$36,"PASS","FAIL")</f>
        <v>PASS</v>
      </c>
      <c r="I53"/>
      <c r="J53"/>
      <c r="K53"/>
      <c r="O53"/>
      <c r="P53"/>
      <c r="Q53"/>
      <c r="R53"/>
      <c r="Z53"/>
    </row>
    <row r="54" spans="1:38" ht="15.75" customHeight="1" x14ac:dyDescent="0.2">
      <c r="B54" s="8"/>
      <c r="AI54" s="58"/>
      <c r="AJ54" s="58"/>
      <c r="AK54" s="58"/>
      <c r="AL54" s="58"/>
    </row>
    <row r="55" spans="1:38" ht="15.75" customHeight="1" x14ac:dyDescent="0.2">
      <c r="B55" s="8"/>
      <c r="AI55" s="58"/>
      <c r="AJ55" s="58"/>
      <c r="AK55" s="58"/>
      <c r="AL55" s="58"/>
    </row>
    <row r="56" spans="1:38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AI56" s="58"/>
      <c r="AJ56" s="58"/>
      <c r="AK56" s="58"/>
      <c r="AL56" s="58"/>
    </row>
    <row r="57" spans="1:38" ht="21" x14ac:dyDescent="0.25">
      <c r="A57" s="84" t="s">
        <v>144</v>
      </c>
      <c r="B57" s="84"/>
      <c r="C57" s="84"/>
      <c r="D57" s="84"/>
      <c r="E57" s="84"/>
      <c r="F57" s="58"/>
      <c r="G57" s="58"/>
      <c r="H57" s="58"/>
      <c r="I57" s="58"/>
      <c r="J57" s="58"/>
      <c r="K57" s="58"/>
      <c r="AI57" s="58"/>
      <c r="AJ57" s="58"/>
      <c r="AK57" s="58"/>
      <c r="AL57" s="58"/>
    </row>
    <row r="58" spans="1:38" ht="34" x14ac:dyDescent="0.2">
      <c r="A58" s="18" t="s">
        <v>145</v>
      </c>
      <c r="B58" s="75"/>
      <c r="C58" s="75"/>
      <c r="D58" s="75"/>
      <c r="E58" s="75"/>
      <c r="F58" s="75"/>
      <c r="G58" s="75"/>
      <c r="H58" s="75"/>
      <c r="I58" s="75"/>
      <c r="J58" s="75"/>
      <c r="K58"/>
      <c r="N58" s="6"/>
      <c r="O58" s="8"/>
      <c r="R58"/>
      <c r="Y58" s="6"/>
      <c r="Z58"/>
      <c r="AH58" s="58"/>
      <c r="AI58" s="58"/>
      <c r="AJ58" s="58"/>
      <c r="AK58" s="58"/>
    </row>
    <row r="59" spans="1:38" x14ac:dyDescent="0.2">
      <c r="A59" s="19">
        <f>STDEVP(AM4:AM16)</f>
        <v>0.41731085305615684</v>
      </c>
      <c r="B59" s="75"/>
      <c r="C59" s="75"/>
      <c r="D59" s="75"/>
      <c r="E59" s="75"/>
      <c r="F59" s="75"/>
      <c r="G59" s="75"/>
      <c r="H59" s="75"/>
      <c r="I59" s="75"/>
      <c r="J59" s="75"/>
      <c r="K59"/>
      <c r="N59" s="6"/>
      <c r="O59" s="8"/>
      <c r="R59"/>
      <c r="Y59" s="6"/>
      <c r="Z59"/>
      <c r="AH59" s="58"/>
      <c r="AI59" s="58"/>
      <c r="AJ59" s="58"/>
      <c r="AK59" s="58"/>
    </row>
    <row r="60" spans="1:38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AI60" s="58"/>
      <c r="AJ60" s="58"/>
      <c r="AK60" s="58"/>
      <c r="AL60" s="58"/>
    </row>
    <row r="61" spans="1:38" ht="85" x14ac:dyDescent="0.2">
      <c r="A61" s="80" t="s">
        <v>12</v>
      </c>
      <c r="B61" s="80" t="s">
        <v>146</v>
      </c>
      <c r="C61" s="80" t="s">
        <v>147</v>
      </c>
      <c r="D61" s="80" t="s">
        <v>148</v>
      </c>
      <c r="E61" s="80" t="s">
        <v>149</v>
      </c>
      <c r="I61"/>
      <c r="J61"/>
      <c r="K61"/>
      <c r="O61"/>
      <c r="P61"/>
      <c r="Q61"/>
      <c r="R61"/>
      <c r="Z61"/>
    </row>
    <row r="62" spans="1:38" x14ac:dyDescent="0.2">
      <c r="A62" t="s">
        <v>52</v>
      </c>
      <c r="B62" s="85">
        <f t="shared" ref="B62:B74" si="12">AVERAGE(AH4) - $A$59*1.64</f>
        <v>-1.3038793581768293</v>
      </c>
      <c r="C62" s="85">
        <f t="shared" ref="C62:C74" si="13">AVERAGE(AH4) + $A$59*1.64</f>
        <v>6.4900239847365149E-2</v>
      </c>
      <c r="D62">
        <f t="shared" ref="D62:D74" si="14">SUM(_xlfn.BITAND(AK4&gt;=B62, AK4&lt;=C62))</f>
        <v>1</v>
      </c>
      <c r="E62">
        <f t="shared" ref="E62:E74" si="15">SUM(_xlfn.BITOR(AK4&lt;B62, AK4&gt;C62))</f>
        <v>0</v>
      </c>
      <c r="I62"/>
      <c r="J62"/>
      <c r="K62"/>
      <c r="O62"/>
      <c r="P62"/>
      <c r="Q62"/>
      <c r="R62"/>
      <c r="Z62"/>
    </row>
    <row r="63" spans="1:38" x14ac:dyDescent="0.2">
      <c r="A63" t="s">
        <v>65</v>
      </c>
      <c r="B63" s="85">
        <f t="shared" si="12"/>
        <v>-0.55478979901209369</v>
      </c>
      <c r="C63" s="85">
        <f t="shared" si="13"/>
        <v>0.81398979901210067</v>
      </c>
      <c r="D63">
        <f t="shared" si="14"/>
        <v>0</v>
      </c>
      <c r="E63">
        <f t="shared" si="15"/>
        <v>1</v>
      </c>
      <c r="I63"/>
      <c r="J63"/>
      <c r="K63"/>
      <c r="O63"/>
      <c r="P63"/>
      <c r="Q63"/>
      <c r="R63"/>
      <c r="Z63"/>
    </row>
    <row r="64" spans="1:38" x14ac:dyDescent="0.2">
      <c r="A64" t="s">
        <v>73</v>
      </c>
      <c r="B64" s="85">
        <f t="shared" si="12"/>
        <v>-3.8667897990120985</v>
      </c>
      <c r="C64" s="85">
        <f t="shared" si="13"/>
        <v>-2.4980102009879039</v>
      </c>
      <c r="D64">
        <f t="shared" si="14"/>
        <v>1</v>
      </c>
      <c r="E64">
        <f t="shared" si="15"/>
        <v>0</v>
      </c>
      <c r="I64"/>
      <c r="J64"/>
      <c r="K64"/>
      <c r="O64"/>
      <c r="P64"/>
      <c r="Q64"/>
      <c r="R64"/>
      <c r="Z64"/>
    </row>
    <row r="65" spans="1:38" x14ac:dyDescent="0.2">
      <c r="A65" t="s">
        <v>77</v>
      </c>
      <c r="B65" s="85">
        <f t="shared" si="12"/>
        <v>-1.6543897990120979</v>
      </c>
      <c r="C65" s="85">
        <f t="shared" si="13"/>
        <v>-0.28561020098790346</v>
      </c>
      <c r="D65">
        <f t="shared" si="14"/>
        <v>1</v>
      </c>
      <c r="E65">
        <f t="shared" si="15"/>
        <v>0</v>
      </c>
      <c r="I65"/>
      <c r="J65"/>
      <c r="K65"/>
      <c r="O65"/>
      <c r="P65"/>
      <c r="Q65"/>
      <c r="R65"/>
      <c r="Z65"/>
    </row>
    <row r="66" spans="1:38" x14ac:dyDescent="0.2">
      <c r="A66" t="s">
        <v>85</v>
      </c>
      <c r="B66" s="85">
        <f t="shared" si="12"/>
        <v>-1.1381397990120932</v>
      </c>
      <c r="C66" s="85">
        <f t="shared" si="13"/>
        <v>0.2306397990121013</v>
      </c>
      <c r="D66">
        <f t="shared" si="14"/>
        <v>1</v>
      </c>
      <c r="E66">
        <f t="shared" si="15"/>
        <v>0</v>
      </c>
      <c r="I66"/>
      <c r="J66"/>
      <c r="K66"/>
      <c r="O66"/>
      <c r="P66"/>
      <c r="Q66"/>
      <c r="R66"/>
      <c r="Z66"/>
    </row>
    <row r="67" spans="1:38" x14ac:dyDescent="0.2">
      <c r="A67" t="s">
        <v>91</v>
      </c>
      <c r="B67" s="85">
        <f t="shared" si="12"/>
        <v>-0.65213979901209684</v>
      </c>
      <c r="C67" s="85">
        <f t="shared" si="13"/>
        <v>0.71663979901209751</v>
      </c>
      <c r="D67">
        <f t="shared" si="14"/>
        <v>1</v>
      </c>
      <c r="E67">
        <f t="shared" si="15"/>
        <v>0</v>
      </c>
      <c r="I67"/>
      <c r="J67"/>
      <c r="K67"/>
      <c r="O67"/>
      <c r="P67"/>
      <c r="Q67"/>
      <c r="R67"/>
      <c r="Z67"/>
    </row>
    <row r="68" spans="1:38" x14ac:dyDescent="0.2">
      <c r="A68" t="s">
        <v>98</v>
      </c>
      <c r="B68" s="85">
        <f t="shared" si="12"/>
        <v>-0.77915979901209642</v>
      </c>
      <c r="C68" s="85">
        <f t="shared" si="13"/>
        <v>0.58961979901209793</v>
      </c>
      <c r="D68">
        <f t="shared" si="14"/>
        <v>1</v>
      </c>
      <c r="E68">
        <f t="shared" si="15"/>
        <v>0</v>
      </c>
      <c r="I68"/>
      <c r="J68"/>
      <c r="K68"/>
      <c r="O68"/>
      <c r="P68"/>
      <c r="Q68"/>
      <c r="R68"/>
      <c r="Z68"/>
    </row>
    <row r="69" spans="1:38" x14ac:dyDescent="0.2">
      <c r="A69" t="s">
        <v>103</v>
      </c>
      <c r="B69" s="85">
        <f t="shared" si="12"/>
        <v>-0.73438979901209611</v>
      </c>
      <c r="C69" s="85">
        <f t="shared" si="13"/>
        <v>0.63438979901209824</v>
      </c>
      <c r="D69">
        <f t="shared" si="14"/>
        <v>1</v>
      </c>
      <c r="E69">
        <f t="shared" si="15"/>
        <v>0</v>
      </c>
      <c r="I69"/>
      <c r="J69"/>
      <c r="K69"/>
      <c r="O69"/>
      <c r="P69"/>
      <c r="Q69"/>
      <c r="R69"/>
      <c r="Z69"/>
    </row>
    <row r="70" spans="1:38" x14ac:dyDescent="0.2">
      <c r="A70" t="s">
        <v>110</v>
      </c>
      <c r="B70" s="85">
        <f t="shared" si="12"/>
        <v>-1.0947897990120983</v>
      </c>
      <c r="C70" s="85">
        <f t="shared" si="13"/>
        <v>0.27398979901209619</v>
      </c>
      <c r="D70">
        <f t="shared" si="14"/>
        <v>1</v>
      </c>
      <c r="E70">
        <f t="shared" si="15"/>
        <v>0</v>
      </c>
      <c r="I70"/>
      <c r="J70"/>
      <c r="K70"/>
      <c r="O70"/>
      <c r="P70"/>
      <c r="Q70"/>
      <c r="R70"/>
      <c r="Z70"/>
    </row>
    <row r="71" spans="1:38" x14ac:dyDescent="0.2">
      <c r="A71" t="s">
        <v>115</v>
      </c>
      <c r="B71" s="85">
        <f t="shared" si="12"/>
        <v>-1.2536397990120969</v>
      </c>
      <c r="C71" s="85">
        <f t="shared" si="13"/>
        <v>0.11513979901209748</v>
      </c>
      <c r="D71">
        <f t="shared" si="14"/>
        <v>1</v>
      </c>
      <c r="E71">
        <f t="shared" si="15"/>
        <v>0</v>
      </c>
      <c r="I71"/>
      <c r="J71"/>
      <c r="K71"/>
      <c r="O71"/>
      <c r="P71"/>
      <c r="Q71"/>
      <c r="R71"/>
      <c r="Z71"/>
    </row>
    <row r="72" spans="1:38" x14ac:dyDescent="0.2">
      <c r="A72" t="s">
        <v>120</v>
      </c>
      <c r="B72" s="85">
        <f t="shared" si="12"/>
        <v>-1.4043897990120973</v>
      </c>
      <c r="C72" s="85">
        <f t="shared" si="13"/>
        <v>-3.5610200987902907E-2</v>
      </c>
      <c r="D72">
        <f t="shared" si="14"/>
        <v>1</v>
      </c>
      <c r="E72">
        <f t="shared" si="15"/>
        <v>0</v>
      </c>
      <c r="I72"/>
      <c r="J72"/>
      <c r="K72"/>
      <c r="O72"/>
      <c r="P72"/>
      <c r="Q72"/>
      <c r="R72"/>
      <c r="Z72"/>
    </row>
    <row r="73" spans="1:38" x14ac:dyDescent="0.2">
      <c r="A73" t="s">
        <v>123</v>
      </c>
      <c r="B73" s="85">
        <f t="shared" si="12"/>
        <v>-0.81488979901209646</v>
      </c>
      <c r="C73" s="85">
        <f t="shared" si="13"/>
        <v>0.55388979901209789</v>
      </c>
      <c r="D73">
        <f t="shared" si="14"/>
        <v>1</v>
      </c>
      <c r="E73">
        <f t="shared" si="15"/>
        <v>0</v>
      </c>
      <c r="I73"/>
      <c r="J73"/>
      <c r="K73"/>
      <c r="O73"/>
      <c r="P73"/>
      <c r="Q73"/>
      <c r="R73"/>
      <c r="Z73"/>
    </row>
    <row r="74" spans="1:38" ht="17" thickBot="1" x14ac:dyDescent="0.25">
      <c r="A74" t="s">
        <v>128</v>
      </c>
      <c r="B74" s="85">
        <f t="shared" si="12"/>
        <v>-1.1330545727939998</v>
      </c>
      <c r="C74" s="85">
        <f t="shared" si="13"/>
        <v>0.23572502523019467</v>
      </c>
      <c r="D74">
        <f t="shared" si="14"/>
        <v>1</v>
      </c>
      <c r="E74">
        <f t="shared" si="15"/>
        <v>0</v>
      </c>
      <c r="I74"/>
      <c r="J74"/>
      <c r="K74"/>
      <c r="O74"/>
      <c r="P74"/>
      <c r="Q74"/>
      <c r="R74"/>
      <c r="Z74"/>
    </row>
    <row r="75" spans="1:38" ht="17" thickBot="1" x14ac:dyDescent="0.25">
      <c r="C75" s="86" t="s">
        <v>143</v>
      </c>
      <c r="D75" s="87">
        <f>SUM(D62:D74)</f>
        <v>12</v>
      </c>
      <c r="E75" s="87">
        <f>SUM(E62:E74)</f>
        <v>1</v>
      </c>
      <c r="I75"/>
      <c r="J75"/>
      <c r="K75"/>
      <c r="O75"/>
      <c r="P75"/>
      <c r="Q75"/>
      <c r="R75"/>
      <c r="Z75"/>
    </row>
    <row r="76" spans="1:38" ht="17" thickBot="1" x14ac:dyDescent="0.25">
      <c r="C76" s="86" t="s">
        <v>150</v>
      </c>
      <c r="D76" s="88">
        <f>SUM(D62:D74)/SUM(D62:E74)</f>
        <v>0.92307692307692313</v>
      </c>
      <c r="E76" s="89">
        <f>SUM(E62:E74)/SUM(D62:E74)</f>
        <v>7.6923076923076927E-2</v>
      </c>
      <c r="I76"/>
      <c r="J76"/>
      <c r="K76"/>
      <c r="O76"/>
      <c r="P76"/>
      <c r="Q76"/>
      <c r="R76"/>
      <c r="Z76"/>
    </row>
    <row r="77" spans="1:38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21" x14ac:dyDescent="0.25">
      <c r="A79" s="84" t="s">
        <v>151</v>
      </c>
      <c r="B79" s="84"/>
      <c r="C79" s="58"/>
      <c r="D79" s="58"/>
      <c r="E79" s="58"/>
      <c r="F79" s="58"/>
      <c r="G79" s="58"/>
      <c r="H79" s="58"/>
      <c r="I79" s="58"/>
      <c r="J79" s="58"/>
      <c r="K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x14ac:dyDescent="0.2">
      <c r="A80" s="58" t="s">
        <v>152</v>
      </c>
      <c r="B80" s="90" cm="1">
        <f t="array" ref="B80">SQRT(AVERAGE((AN4:AN16)^2))</f>
        <v>0.41731085305615684</v>
      </c>
      <c r="C80" s="58"/>
      <c r="D80" s="58"/>
      <c r="E80" s="58"/>
      <c r="F80" s="58"/>
      <c r="G80" s="58"/>
      <c r="H80" s="58"/>
      <c r="I80" s="58"/>
      <c r="J80" s="58"/>
      <c r="K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x14ac:dyDescent="0.2">
      <c r="C83" s="58"/>
      <c r="D83" s="58"/>
      <c r="E83" s="58"/>
      <c r="F83" s="58"/>
      <c r="G83" s="58"/>
      <c r="H83" s="58"/>
      <c r="I83" s="58"/>
      <c r="J83" s="58"/>
      <c r="K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x14ac:dyDescent="0.2"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x14ac:dyDescent="0.2"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x14ac:dyDescent="0.2"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x14ac:dyDescent="0.2"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x14ac:dyDescent="0.2"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x14ac:dyDescent="0.2"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x14ac:dyDescent="0.2"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x14ac:dyDescent="0.2"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x14ac:dyDescent="0.2"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x14ac:dyDescent="0.2"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27:38" x14ac:dyDescent="0.2"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27:38" x14ac:dyDescent="0.2"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27:38" x14ac:dyDescent="0.2"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27:38" x14ac:dyDescent="0.2"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27:38" x14ac:dyDescent="0.2"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27:38" x14ac:dyDescent="0.2"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</row>
    <row r="103" spans="27:38" x14ac:dyDescent="0.2"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</row>
    <row r="104" spans="27:38" x14ac:dyDescent="0.2"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27:38" x14ac:dyDescent="0.2"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27:38" x14ac:dyDescent="0.2"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27:38" x14ac:dyDescent="0.2"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27:38" x14ac:dyDescent="0.2"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27:38" x14ac:dyDescent="0.2"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27:38" x14ac:dyDescent="0.2"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27:38" x14ac:dyDescent="0.2"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27:38" x14ac:dyDescent="0.2"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27:38" x14ac:dyDescent="0.2"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27:38" x14ac:dyDescent="0.2"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27:38" x14ac:dyDescent="0.2"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27:38" x14ac:dyDescent="0.2"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27:38" x14ac:dyDescent="0.2"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27:38" x14ac:dyDescent="0.2"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27:38" x14ac:dyDescent="0.2"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27:38" x14ac:dyDescent="0.2"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27:38" x14ac:dyDescent="0.2"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27:38" x14ac:dyDescent="0.2"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27:38" x14ac:dyDescent="0.2"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27:38" x14ac:dyDescent="0.2"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27:38" x14ac:dyDescent="0.2"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27:38" x14ac:dyDescent="0.2"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27:38" x14ac:dyDescent="0.2"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27:38" x14ac:dyDescent="0.2"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27:38" x14ac:dyDescent="0.2"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27:38" x14ac:dyDescent="0.2"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27:38" x14ac:dyDescent="0.2"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27:38" x14ac:dyDescent="0.2"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27:38" x14ac:dyDescent="0.2"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27:38" x14ac:dyDescent="0.2"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27:38" x14ac:dyDescent="0.2"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27:38" x14ac:dyDescent="0.2"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27:38" x14ac:dyDescent="0.2"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27:38" x14ac:dyDescent="0.2"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27:38" x14ac:dyDescent="0.2"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27:38" x14ac:dyDescent="0.2"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27:38" x14ac:dyDescent="0.2"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27:38" x14ac:dyDescent="0.2"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27:38" x14ac:dyDescent="0.2"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27:38" x14ac:dyDescent="0.2"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27:38" x14ac:dyDescent="0.2"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27:38" x14ac:dyDescent="0.2"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27:38" x14ac:dyDescent="0.2"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27:38" x14ac:dyDescent="0.2"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27:38" x14ac:dyDescent="0.2"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27:38" x14ac:dyDescent="0.2"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27:38" x14ac:dyDescent="0.2"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27:38" x14ac:dyDescent="0.2"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27:38" x14ac:dyDescent="0.2"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27:38" x14ac:dyDescent="0.2"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27:38" x14ac:dyDescent="0.2"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27:38" x14ac:dyDescent="0.2"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27:38" x14ac:dyDescent="0.2"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27:38" x14ac:dyDescent="0.2"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27:38" x14ac:dyDescent="0.2"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27:38" x14ac:dyDescent="0.2"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27:38" x14ac:dyDescent="0.2"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27:38" x14ac:dyDescent="0.2"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27:38" x14ac:dyDescent="0.2"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27:38" x14ac:dyDescent="0.2"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27:38" x14ac:dyDescent="0.2"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27:38" x14ac:dyDescent="0.2"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27:38" x14ac:dyDescent="0.2"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27:38" x14ac:dyDescent="0.2"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27:38" x14ac:dyDescent="0.2"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27:38" x14ac:dyDescent="0.2"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27:38" x14ac:dyDescent="0.2"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27:38" x14ac:dyDescent="0.2"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27:38" x14ac:dyDescent="0.2"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27:38" x14ac:dyDescent="0.2"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27:38" x14ac:dyDescent="0.2"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27:38" x14ac:dyDescent="0.2"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27:38" x14ac:dyDescent="0.2"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27:38" x14ac:dyDescent="0.2"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27:38" x14ac:dyDescent="0.2"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27:38" x14ac:dyDescent="0.2"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27:38" x14ac:dyDescent="0.2"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27:38" x14ac:dyDescent="0.2"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27:38" x14ac:dyDescent="0.2"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27:38" x14ac:dyDescent="0.2"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27:38" x14ac:dyDescent="0.2"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27:38" x14ac:dyDescent="0.2"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27:38" x14ac:dyDescent="0.2"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27:38" x14ac:dyDescent="0.2"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27:38" x14ac:dyDescent="0.2"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27:38" x14ac:dyDescent="0.2"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27:38" x14ac:dyDescent="0.2"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27:38" x14ac:dyDescent="0.2"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27:38" x14ac:dyDescent="0.2"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27:38" x14ac:dyDescent="0.2"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27:38" x14ac:dyDescent="0.2"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27:38" x14ac:dyDescent="0.2"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27:38" x14ac:dyDescent="0.2"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27:38" x14ac:dyDescent="0.2"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27:38" x14ac:dyDescent="0.2"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27:38" x14ac:dyDescent="0.2"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27:38" x14ac:dyDescent="0.2"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</row>
    <row r="202" spans="27:38" x14ac:dyDescent="0.2"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</row>
    <row r="203" spans="27:38" x14ac:dyDescent="0.2"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</row>
    <row r="204" spans="27:38" x14ac:dyDescent="0.2"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</row>
    <row r="205" spans="27:38" x14ac:dyDescent="0.2"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spans="27:38" x14ac:dyDescent="0.2"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27:38" x14ac:dyDescent="0.2"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27:38" x14ac:dyDescent="0.2"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27:38" x14ac:dyDescent="0.2"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27:38" x14ac:dyDescent="0.2"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27:38" x14ac:dyDescent="0.2"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27:38" x14ac:dyDescent="0.2"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27:38" x14ac:dyDescent="0.2"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27:38" x14ac:dyDescent="0.2"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27:38" x14ac:dyDescent="0.2"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27:38" x14ac:dyDescent="0.2"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27:38" x14ac:dyDescent="0.2"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27:38" x14ac:dyDescent="0.2"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27:38" x14ac:dyDescent="0.2"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27:38" x14ac:dyDescent="0.2"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27:38" x14ac:dyDescent="0.2"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27:38" x14ac:dyDescent="0.2"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27:38" x14ac:dyDescent="0.2"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27:38" x14ac:dyDescent="0.2"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27:38" x14ac:dyDescent="0.2"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27:38" x14ac:dyDescent="0.2"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27:38" x14ac:dyDescent="0.2"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27:38" x14ac:dyDescent="0.2"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27:38" x14ac:dyDescent="0.2"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27:38" x14ac:dyDescent="0.2"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27:38" x14ac:dyDescent="0.2"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27:38" x14ac:dyDescent="0.2"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27:38" x14ac:dyDescent="0.2"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27:38" x14ac:dyDescent="0.2"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27:38" x14ac:dyDescent="0.2"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27:38" x14ac:dyDescent="0.2"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27:38" x14ac:dyDescent="0.2"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27:38" x14ac:dyDescent="0.2"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27:38" x14ac:dyDescent="0.2"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27:38" x14ac:dyDescent="0.2"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27:38" x14ac:dyDescent="0.2"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27:38" x14ac:dyDescent="0.2"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27:38" x14ac:dyDescent="0.2"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27:38" x14ac:dyDescent="0.2"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27:38" x14ac:dyDescent="0.2"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27:38" x14ac:dyDescent="0.2"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27:38" x14ac:dyDescent="0.2"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27:38" x14ac:dyDescent="0.2"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27:38" x14ac:dyDescent="0.2"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27:38" x14ac:dyDescent="0.2"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0D8A-58D3-6D40-99AB-4E4A0991CD17}">
  <dimension ref="A1:AR259"/>
  <sheetViews>
    <sheetView topLeftCell="A73" zoomScale="125" workbookViewId="0">
      <selection activeCell="B21" sqref="B21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30" max="30" width="47.1640625" customWidth="1"/>
  </cols>
  <sheetData>
    <row r="1" spans="1:44" ht="28" customHeight="1" x14ac:dyDescent="0.2">
      <c r="A1" s="5" t="s">
        <v>153</v>
      </c>
    </row>
    <row r="2" spans="1:44" ht="32" customHeight="1" x14ac:dyDescent="0.3">
      <c r="A2" s="9" t="s">
        <v>154</v>
      </c>
      <c r="B2" s="9"/>
      <c r="C2" s="56"/>
      <c r="D2" s="56"/>
      <c r="E2" s="56"/>
      <c r="F2" s="91"/>
      <c r="G2" s="91"/>
      <c r="H2" s="92"/>
      <c r="I2" s="56"/>
      <c r="J2" s="56"/>
      <c r="K2" s="56"/>
      <c r="L2" s="91"/>
      <c r="M2" s="93"/>
      <c r="N2" s="93"/>
      <c r="O2" s="93"/>
      <c r="P2" s="56"/>
      <c r="Q2" s="56"/>
      <c r="R2" s="56"/>
      <c r="S2" s="91"/>
      <c r="T2" s="56"/>
      <c r="U2" s="56"/>
      <c r="V2" s="56"/>
      <c r="W2" s="56"/>
      <c r="X2" s="56"/>
      <c r="Y2" s="56"/>
      <c r="Z2" s="56"/>
      <c r="AA2" s="56"/>
      <c r="AB2" s="56"/>
      <c r="AG2" s="9" t="s">
        <v>155</v>
      </c>
    </row>
    <row r="3" spans="1:44" s="19" customFormat="1" ht="68" x14ac:dyDescent="0.2">
      <c r="A3" s="94" t="s">
        <v>10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5" t="s">
        <v>16</v>
      </c>
      <c r="H3" s="95" t="s">
        <v>17</v>
      </c>
      <c r="I3" s="94" t="s">
        <v>18</v>
      </c>
      <c r="J3" s="96" t="s">
        <v>19</v>
      </c>
      <c r="K3" s="96" t="s">
        <v>20</v>
      </c>
      <c r="L3" s="94" t="s">
        <v>21</v>
      </c>
      <c r="M3" s="94" t="s">
        <v>22</v>
      </c>
      <c r="N3" s="94" t="s">
        <v>23</v>
      </c>
      <c r="O3" s="97" t="s">
        <v>24</v>
      </c>
      <c r="P3" s="94" t="s">
        <v>25</v>
      </c>
      <c r="Q3" s="94" t="s">
        <v>26</v>
      </c>
      <c r="R3" s="94" t="s">
        <v>27</v>
      </c>
      <c r="S3" s="97" t="s">
        <v>28</v>
      </c>
      <c r="T3" s="95" t="s">
        <v>29</v>
      </c>
      <c r="U3" s="98" t="s">
        <v>30</v>
      </c>
      <c r="V3" s="98" t="s">
        <v>31</v>
      </c>
      <c r="W3" s="98" t="s">
        <v>32</v>
      </c>
      <c r="X3" s="98" t="s">
        <v>33</v>
      </c>
      <c r="Y3" s="94" t="s">
        <v>34</v>
      </c>
      <c r="Z3" s="94" t="s">
        <v>35</v>
      </c>
      <c r="AA3" s="99" t="s">
        <v>36</v>
      </c>
      <c r="AB3" s="94" t="s">
        <v>37</v>
      </c>
      <c r="AC3" s="94" t="s">
        <v>38</v>
      </c>
      <c r="AD3" s="100" t="s">
        <v>39</v>
      </c>
      <c r="AE3" s="10" t="s">
        <v>40</v>
      </c>
      <c r="AF3" s="10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  <c r="AO3" s="58"/>
      <c r="AP3" s="18"/>
      <c r="AQ3" s="18"/>
      <c r="AR3" s="18"/>
    </row>
    <row r="4" spans="1:44" ht="17" x14ac:dyDescent="0.2">
      <c r="A4" s="20" t="s">
        <v>156</v>
      </c>
      <c r="B4" s="20" t="s">
        <v>157</v>
      </c>
      <c r="C4" s="20" t="s">
        <v>158</v>
      </c>
      <c r="D4" s="41" t="s">
        <v>159</v>
      </c>
      <c r="E4" s="20" t="s">
        <v>160</v>
      </c>
      <c r="F4" s="20" t="s">
        <v>79</v>
      </c>
      <c r="G4" s="20">
        <v>14.7</v>
      </c>
      <c r="H4" s="20">
        <v>77.666700000000006</v>
      </c>
      <c r="I4" s="23">
        <v>31199</v>
      </c>
      <c r="J4" s="23">
        <v>41578</v>
      </c>
      <c r="K4" s="20" t="s">
        <v>68</v>
      </c>
      <c r="L4" s="20">
        <v>28</v>
      </c>
      <c r="M4" s="20"/>
      <c r="N4" s="36"/>
      <c r="O4" s="36">
        <v>0.3</v>
      </c>
      <c r="P4" s="26">
        <f>10000*W4*U4*(O4/100)</f>
        <v>9.18</v>
      </c>
      <c r="Q4" s="28"/>
      <c r="R4" s="36"/>
      <c r="S4" s="36">
        <v>0.55000000000000004</v>
      </c>
      <c r="T4" s="101">
        <f>10000*X4*U4*(S4/100)</f>
        <v>16.28</v>
      </c>
      <c r="U4" s="20">
        <v>0.2</v>
      </c>
      <c r="V4" s="20" t="s">
        <v>59</v>
      </c>
      <c r="W4" s="20">
        <v>1.53</v>
      </c>
      <c r="X4" s="20">
        <v>1.48</v>
      </c>
      <c r="Y4" s="20" t="s">
        <v>60</v>
      </c>
      <c r="Z4" s="29" t="s">
        <v>161</v>
      </c>
      <c r="AA4" s="30" t="s">
        <v>81</v>
      </c>
      <c r="AB4" s="102">
        <v>37.1159259259259</v>
      </c>
      <c r="AC4" s="20" t="s">
        <v>70</v>
      </c>
      <c r="AD4" s="55" t="s">
        <v>162</v>
      </c>
      <c r="AE4" s="20">
        <v>4.6669999999999998</v>
      </c>
      <c r="AF4" s="20">
        <v>1</v>
      </c>
      <c r="AG4" s="33">
        <f t="shared" ref="AG4:AG19" si="0">T4-P4</f>
        <v>7.1000000000000014</v>
      </c>
      <c r="AH4" s="34">
        <f t="shared" ref="AH4:AH19" si="1">AG4/L4</f>
        <v>0.25357142857142861</v>
      </c>
      <c r="AI4">
        <v>16.2800000000009</v>
      </c>
      <c r="AJ4" s="34">
        <f t="shared" ref="AJ4:AJ19" si="2">AI4-P4</f>
        <v>7.1000000000009003</v>
      </c>
      <c r="AK4" s="34">
        <f t="shared" ref="AK4:AK19" si="3">AJ4/L4</f>
        <v>0.2535714285714607</v>
      </c>
      <c r="AL4" s="35">
        <f>AJ4-AG4</f>
        <v>8.9883656073652674E-13</v>
      </c>
      <c r="AM4" s="35">
        <f>AK4-AH4</f>
        <v>3.2085445411667024E-14</v>
      </c>
      <c r="AN4" s="35">
        <f t="shared" ref="AN4:AN19" si="4">AM4-AVERAGE($AM$4:$AM$19)</f>
        <v>5.574880834746665E-14</v>
      </c>
      <c r="AO4" s="58"/>
      <c r="AP4" s="58"/>
      <c r="AQ4" s="58"/>
      <c r="AR4" s="75"/>
    </row>
    <row r="5" spans="1:44" ht="17" x14ac:dyDescent="0.2">
      <c r="A5" s="20" t="s">
        <v>163</v>
      </c>
      <c r="B5" s="20" t="s">
        <v>164</v>
      </c>
      <c r="C5" s="20" t="s">
        <v>164</v>
      </c>
      <c r="D5" s="41" t="s">
        <v>159</v>
      </c>
      <c r="E5" s="20" t="s">
        <v>165</v>
      </c>
      <c r="F5" s="20" t="s">
        <v>79</v>
      </c>
      <c r="G5" s="20">
        <v>21.024895000000001</v>
      </c>
      <c r="H5" s="20">
        <v>75.531850000000006</v>
      </c>
      <c r="I5" s="23">
        <v>37408</v>
      </c>
      <c r="J5" s="23">
        <v>38473</v>
      </c>
      <c r="K5" s="20" t="s">
        <v>80</v>
      </c>
      <c r="L5" s="20">
        <v>3</v>
      </c>
      <c r="M5" s="20"/>
      <c r="N5" s="36"/>
      <c r="O5" s="36">
        <v>0.28000000000000003</v>
      </c>
      <c r="P5" s="26">
        <f>10000*W5*U5*(O5/100)</f>
        <v>13.322400000000002</v>
      </c>
      <c r="Q5" s="28"/>
      <c r="R5" s="36"/>
      <c r="S5" s="36">
        <v>0.49</v>
      </c>
      <c r="T5" s="101">
        <f>10000*X5*U5*(S5/100)</f>
        <v>23.3142</v>
      </c>
      <c r="U5" s="20">
        <v>0.3</v>
      </c>
      <c r="V5" s="55" t="s">
        <v>166</v>
      </c>
      <c r="W5" s="41">
        <v>1.5860000000000001</v>
      </c>
      <c r="X5" s="41">
        <v>1.5860000000000001</v>
      </c>
      <c r="Y5" s="20" t="s">
        <v>70</v>
      </c>
      <c r="Z5" s="29" t="s">
        <v>69</v>
      </c>
      <c r="AA5" s="30" t="s">
        <v>81</v>
      </c>
      <c r="AB5" s="31">
        <v>38.189843750000001</v>
      </c>
      <c r="AC5" s="20" t="s">
        <v>70</v>
      </c>
      <c r="AD5" s="55" t="s">
        <v>167</v>
      </c>
      <c r="AE5" s="20">
        <v>4.6669999999999998</v>
      </c>
      <c r="AF5" s="20">
        <v>1</v>
      </c>
      <c r="AG5" s="33">
        <f t="shared" si="0"/>
        <v>9.9917999999999978</v>
      </c>
      <c r="AH5" s="34">
        <f t="shared" si="1"/>
        <v>3.3305999999999991</v>
      </c>
      <c r="AI5">
        <v>23.3142</v>
      </c>
      <c r="AJ5" s="34">
        <f t="shared" si="2"/>
        <v>9.9917999999999978</v>
      </c>
      <c r="AK5" s="34">
        <f t="shared" si="3"/>
        <v>3.3305999999999991</v>
      </c>
      <c r="AL5" s="35">
        <f t="shared" ref="AL5:AM19" si="5">AJ5-AG5</f>
        <v>0</v>
      </c>
      <c r="AM5" s="35">
        <f t="shared" si="5"/>
        <v>0</v>
      </c>
      <c r="AN5" s="35">
        <f t="shared" si="4"/>
        <v>2.3663362935799626E-14</v>
      </c>
      <c r="AO5" s="58"/>
      <c r="AP5" s="58"/>
      <c r="AQ5" s="58"/>
      <c r="AR5" s="58"/>
    </row>
    <row r="6" spans="1:44" ht="17" x14ac:dyDescent="0.2">
      <c r="A6" s="20" t="s">
        <v>168</v>
      </c>
      <c r="B6" s="20" t="s">
        <v>169</v>
      </c>
      <c r="C6" s="20" t="s">
        <v>169</v>
      </c>
      <c r="D6" s="41" t="s">
        <v>159</v>
      </c>
      <c r="E6" s="20" t="s">
        <v>170</v>
      </c>
      <c r="F6" s="20" t="s">
        <v>55</v>
      </c>
      <c r="G6" s="20">
        <v>28.304400000000001</v>
      </c>
      <c r="H6" s="20">
        <v>30.577200000000001</v>
      </c>
      <c r="I6" s="23">
        <v>43101</v>
      </c>
      <c r="J6" s="23">
        <v>43235</v>
      </c>
      <c r="K6" s="20" t="s">
        <v>56</v>
      </c>
      <c r="L6" s="20">
        <v>1</v>
      </c>
      <c r="M6" s="20" t="s">
        <v>87</v>
      </c>
      <c r="N6" s="103">
        <v>18.48</v>
      </c>
      <c r="O6" s="36">
        <f>N6/10</f>
        <v>1.8480000000000001</v>
      </c>
      <c r="P6" s="26">
        <f>10000*W6*U6*(O6/100)</f>
        <v>48.4176</v>
      </c>
      <c r="Q6" s="20" t="s">
        <v>87</v>
      </c>
      <c r="R6" s="36">
        <v>23.4</v>
      </c>
      <c r="S6" s="36">
        <f>R6/10</f>
        <v>2.34</v>
      </c>
      <c r="T6" s="101">
        <f>10000*X6*U6*(S6/100)</f>
        <v>63.694799999999994</v>
      </c>
      <c r="U6" s="20">
        <v>0.2</v>
      </c>
      <c r="V6" s="55" t="s">
        <v>166</v>
      </c>
      <c r="W6" s="20">
        <v>1.31</v>
      </c>
      <c r="X6" s="20">
        <v>1.361</v>
      </c>
      <c r="Y6" s="20" t="s">
        <v>60</v>
      </c>
      <c r="Z6" s="29" t="s">
        <v>69</v>
      </c>
      <c r="AA6" s="30" t="s">
        <v>106</v>
      </c>
      <c r="AB6" s="104">
        <v>56.45</v>
      </c>
      <c r="AC6" s="20" t="s">
        <v>60</v>
      </c>
      <c r="AD6" s="55" t="s">
        <v>171</v>
      </c>
      <c r="AE6" s="20">
        <v>4.6669999999999998</v>
      </c>
      <c r="AF6" s="20">
        <v>1</v>
      </c>
      <c r="AG6" s="33">
        <f t="shared" si="0"/>
        <v>15.277199999999993</v>
      </c>
      <c r="AH6" s="34">
        <f t="shared" si="1"/>
        <v>15.277199999999993</v>
      </c>
      <c r="AI6">
        <v>63.694800000000001</v>
      </c>
      <c r="AJ6" s="34">
        <f t="shared" si="2"/>
        <v>15.277200000000001</v>
      </c>
      <c r="AK6" s="34">
        <f t="shared" si="3"/>
        <v>15.277200000000001</v>
      </c>
      <c r="AL6" s="35">
        <f t="shared" si="5"/>
        <v>0</v>
      </c>
      <c r="AM6" s="35">
        <f t="shared" si="5"/>
        <v>0</v>
      </c>
      <c r="AN6" s="35">
        <f t="shared" si="4"/>
        <v>2.3663362935799626E-14</v>
      </c>
      <c r="AO6" s="58"/>
      <c r="AP6" s="58"/>
      <c r="AQ6" s="58"/>
      <c r="AR6" s="58"/>
    </row>
    <row r="7" spans="1:44" ht="17" x14ac:dyDescent="0.2">
      <c r="A7" s="20" t="s">
        <v>172</v>
      </c>
      <c r="B7" s="20" t="s">
        <v>173</v>
      </c>
      <c r="C7" s="20" t="s">
        <v>173</v>
      </c>
      <c r="D7" s="41" t="s">
        <v>159</v>
      </c>
      <c r="E7" s="20" t="s">
        <v>174</v>
      </c>
      <c r="F7" s="20" t="s">
        <v>55</v>
      </c>
      <c r="G7" s="20">
        <v>36.9</v>
      </c>
      <c r="H7" s="20">
        <v>115</v>
      </c>
      <c r="I7" s="23">
        <v>41183</v>
      </c>
      <c r="J7" s="23">
        <v>43617</v>
      </c>
      <c r="K7" s="20" t="s">
        <v>56</v>
      </c>
      <c r="L7" s="20">
        <v>7</v>
      </c>
      <c r="M7" s="20"/>
      <c r="N7" s="36"/>
      <c r="O7" s="36"/>
      <c r="P7" s="101">
        <v>36.5</v>
      </c>
      <c r="Q7" s="28"/>
      <c r="R7" s="36"/>
      <c r="S7" s="36"/>
      <c r="T7" s="101">
        <v>51.9</v>
      </c>
      <c r="U7" s="20">
        <v>0.2</v>
      </c>
      <c r="V7" s="20" t="s">
        <v>93</v>
      </c>
      <c r="W7" s="20">
        <v>1.37</v>
      </c>
      <c r="X7" s="20">
        <v>1.37</v>
      </c>
      <c r="Y7" s="20" t="s">
        <v>70</v>
      </c>
      <c r="Z7" s="29" t="s">
        <v>175</v>
      </c>
      <c r="AA7" s="30" t="s">
        <v>61</v>
      </c>
      <c r="AB7" s="102">
        <v>20.464583333333302</v>
      </c>
      <c r="AC7" s="20" t="s">
        <v>70</v>
      </c>
      <c r="AD7" s="55" t="s">
        <v>176</v>
      </c>
      <c r="AE7" s="20">
        <v>4.6669999999999998</v>
      </c>
      <c r="AF7" s="20">
        <v>1</v>
      </c>
      <c r="AG7" s="33">
        <f t="shared" si="0"/>
        <v>15.399999999999999</v>
      </c>
      <c r="AH7" s="34">
        <f t="shared" si="1"/>
        <v>2.1999999999999997</v>
      </c>
      <c r="AI7">
        <v>51.899999999999601</v>
      </c>
      <c r="AJ7" s="34">
        <f t="shared" si="2"/>
        <v>15.399999999999601</v>
      </c>
      <c r="AK7" s="34">
        <f t="shared" si="3"/>
        <v>2.1999999999999429</v>
      </c>
      <c r="AL7" s="35">
        <f t="shared" si="5"/>
        <v>-3.979039320256561E-13</v>
      </c>
      <c r="AM7" s="35">
        <f t="shared" si="5"/>
        <v>-5.6843418860808015E-14</v>
      </c>
      <c r="AN7" s="35">
        <f t="shared" si="4"/>
        <v>-3.3180055925008389E-14</v>
      </c>
      <c r="AO7" s="58"/>
      <c r="AP7" s="58"/>
      <c r="AQ7" s="58"/>
      <c r="AR7" s="58"/>
    </row>
    <row r="8" spans="1:44" ht="17" x14ac:dyDescent="0.2">
      <c r="A8" s="20" t="s">
        <v>50</v>
      </c>
      <c r="B8" s="20" t="s">
        <v>51</v>
      </c>
      <c r="C8" s="20" t="s">
        <v>177</v>
      </c>
      <c r="D8" s="41" t="s">
        <v>159</v>
      </c>
      <c r="E8" s="20" t="s">
        <v>54</v>
      </c>
      <c r="F8" s="20" t="s">
        <v>55</v>
      </c>
      <c r="G8" s="20">
        <v>31.215972000000001</v>
      </c>
      <c r="H8" s="20">
        <v>70.969943999999998</v>
      </c>
      <c r="I8" s="23">
        <v>38672</v>
      </c>
      <c r="J8" s="23">
        <v>39187</v>
      </c>
      <c r="K8" s="20" t="s">
        <v>56</v>
      </c>
      <c r="L8" s="20">
        <v>2</v>
      </c>
      <c r="M8" s="20" t="s">
        <v>178</v>
      </c>
      <c r="N8" s="105">
        <v>0.48</v>
      </c>
      <c r="O8" s="36">
        <f>N8/1.72</f>
        <v>0.27906976744186046</v>
      </c>
      <c r="P8" s="26">
        <f>10000*W8*U8*(O8/100)</f>
        <v>11.469767441860466</v>
      </c>
      <c r="Q8" s="20" t="s">
        <v>178</v>
      </c>
      <c r="R8" s="36">
        <v>0.56999999999999995</v>
      </c>
      <c r="S8" s="36">
        <f>R8/1.72</f>
        <v>0.33139534883720928</v>
      </c>
      <c r="T8" s="101">
        <f>10000*X8*U8*(S8/100)</f>
        <v>11.631976744186046</v>
      </c>
      <c r="U8" s="20">
        <v>0.3</v>
      </c>
      <c r="V8" s="55" t="s">
        <v>166</v>
      </c>
      <c r="W8" s="20">
        <v>1.37</v>
      </c>
      <c r="X8" s="20">
        <v>1.17</v>
      </c>
      <c r="Y8" s="20" t="s">
        <v>60</v>
      </c>
      <c r="Z8" s="29" t="s">
        <v>69</v>
      </c>
      <c r="AA8" s="30" t="s">
        <v>61</v>
      </c>
      <c r="AB8" s="102">
        <v>16</v>
      </c>
      <c r="AC8" s="20" t="s">
        <v>60</v>
      </c>
      <c r="AD8" s="55" t="s">
        <v>179</v>
      </c>
      <c r="AE8" s="20">
        <v>4.6669999999999998</v>
      </c>
      <c r="AF8" s="20">
        <v>3</v>
      </c>
      <c r="AG8" s="33">
        <f t="shared" si="0"/>
        <v>0.1622093023255804</v>
      </c>
      <c r="AH8" s="34">
        <f t="shared" si="1"/>
        <v>8.1104651162790198E-2</v>
      </c>
      <c r="AI8">
        <v>11.631976744186</v>
      </c>
      <c r="AJ8" s="34">
        <f t="shared" si="2"/>
        <v>0.16220930232553421</v>
      </c>
      <c r="AK8" s="34">
        <f t="shared" si="3"/>
        <v>8.1104651162767105E-2</v>
      </c>
      <c r="AL8" s="35">
        <f t="shared" si="5"/>
        <v>-4.6185277824406512E-14</v>
      </c>
      <c r="AM8" s="35">
        <f t="shared" si="5"/>
        <v>-2.3092638912203256E-14</v>
      </c>
      <c r="AN8" s="35">
        <f t="shared" si="4"/>
        <v>5.7072402359636953E-16</v>
      </c>
      <c r="AO8" s="58"/>
      <c r="AP8" s="58"/>
      <c r="AQ8" s="58"/>
      <c r="AR8" s="58"/>
    </row>
    <row r="9" spans="1:44" ht="17" x14ac:dyDescent="0.2">
      <c r="A9" s="20" t="s">
        <v>75</v>
      </c>
      <c r="B9" s="20" t="s">
        <v>76</v>
      </c>
      <c r="C9" s="20" t="s">
        <v>180</v>
      </c>
      <c r="D9" s="41" t="s">
        <v>159</v>
      </c>
      <c r="E9" s="20" t="s">
        <v>78</v>
      </c>
      <c r="F9" s="20" t="s">
        <v>79</v>
      </c>
      <c r="G9" s="20">
        <v>11.482675</v>
      </c>
      <c r="H9" s="20">
        <v>77.136517999999995</v>
      </c>
      <c r="I9" s="23">
        <v>40299</v>
      </c>
      <c r="J9" s="23">
        <v>41029</v>
      </c>
      <c r="K9" s="20" t="s">
        <v>80</v>
      </c>
      <c r="L9" s="20">
        <v>2</v>
      </c>
      <c r="M9" s="20"/>
      <c r="N9" s="36"/>
      <c r="O9" s="36">
        <v>0.51</v>
      </c>
      <c r="P9" s="26">
        <f>10000*W9*U9*(O9/100)</f>
        <v>13.770000000000001</v>
      </c>
      <c r="Q9" s="28"/>
      <c r="R9" s="36"/>
      <c r="S9" s="36">
        <v>0.94299999999999995</v>
      </c>
      <c r="T9" s="101">
        <f>10000*X9*U9*(S9/100)</f>
        <v>25.460999999999999</v>
      </c>
      <c r="U9" s="20">
        <v>0.2</v>
      </c>
      <c r="V9" s="20" t="s">
        <v>59</v>
      </c>
      <c r="W9" s="20">
        <v>1.35</v>
      </c>
      <c r="X9" s="20">
        <v>1.35</v>
      </c>
      <c r="Y9" s="20" t="s">
        <v>60</v>
      </c>
      <c r="Z9" s="29" t="s">
        <v>161</v>
      </c>
      <c r="AA9" s="30" t="s">
        <v>81</v>
      </c>
      <c r="AB9" s="102">
        <v>35.704999999999998</v>
      </c>
      <c r="AC9" s="20" t="s">
        <v>70</v>
      </c>
      <c r="AD9" s="55" t="s">
        <v>181</v>
      </c>
      <c r="AE9" s="20">
        <v>4.6669999999999998</v>
      </c>
      <c r="AF9" s="20">
        <v>1</v>
      </c>
      <c r="AG9" s="33">
        <f t="shared" si="0"/>
        <v>11.690999999999997</v>
      </c>
      <c r="AH9" s="34">
        <f t="shared" si="1"/>
        <v>5.8454999999999986</v>
      </c>
      <c r="AI9">
        <v>25.460999999999899</v>
      </c>
      <c r="AJ9" s="34">
        <f t="shared" si="2"/>
        <v>11.690999999999898</v>
      </c>
      <c r="AK9" s="34">
        <f t="shared" si="3"/>
        <v>5.8454999999999488</v>
      </c>
      <c r="AL9" s="35">
        <f t="shared" si="5"/>
        <v>-9.9475983006414026E-14</v>
      </c>
      <c r="AM9" s="35">
        <f t="shared" si="5"/>
        <v>-4.9737991503207013E-14</v>
      </c>
      <c r="AN9" s="35">
        <f t="shared" si="4"/>
        <v>-2.6074628567407387E-14</v>
      </c>
      <c r="AO9" s="58"/>
      <c r="AP9" s="58"/>
      <c r="AQ9" s="58"/>
      <c r="AR9" s="58"/>
    </row>
    <row r="10" spans="1:44" ht="17" x14ac:dyDescent="0.2">
      <c r="A10" s="20" t="s">
        <v>83</v>
      </c>
      <c r="B10" s="20" t="s">
        <v>182</v>
      </c>
      <c r="C10" s="20" t="s">
        <v>182</v>
      </c>
      <c r="D10" s="41" t="s">
        <v>159</v>
      </c>
      <c r="E10" s="20" t="s">
        <v>86</v>
      </c>
      <c r="F10" s="20" t="s">
        <v>67</v>
      </c>
      <c r="G10" s="20">
        <v>-1.086158</v>
      </c>
      <c r="H10" s="20">
        <v>37.007671000000002</v>
      </c>
      <c r="I10" s="23">
        <v>42309</v>
      </c>
      <c r="J10" s="23">
        <v>42917</v>
      </c>
      <c r="K10" s="20" t="s">
        <v>56</v>
      </c>
      <c r="L10" s="20">
        <v>2</v>
      </c>
      <c r="M10" s="20" t="s">
        <v>87</v>
      </c>
      <c r="N10" s="103">
        <v>14.45</v>
      </c>
      <c r="O10" s="36">
        <f>N10/10</f>
        <v>1.4449999999999998</v>
      </c>
      <c r="P10" s="26">
        <f>10000*W10*U10*(O10/100)</f>
        <v>62.857499999999987</v>
      </c>
      <c r="Q10" s="20" t="s">
        <v>87</v>
      </c>
      <c r="R10" s="36">
        <v>15.6</v>
      </c>
      <c r="S10" s="36">
        <f>R10/10</f>
        <v>1.56</v>
      </c>
      <c r="T10" s="101">
        <f>10000*X10*U10*(S10/100)</f>
        <v>65.52000000000001</v>
      </c>
      <c r="U10" s="20">
        <v>0.3</v>
      </c>
      <c r="V10" s="55" t="s">
        <v>166</v>
      </c>
      <c r="W10" s="20">
        <v>1.45</v>
      </c>
      <c r="X10" s="20">
        <v>1.4</v>
      </c>
      <c r="Y10" s="20" t="s">
        <v>60</v>
      </c>
      <c r="Z10" s="29" t="s">
        <v>69</v>
      </c>
      <c r="AA10" s="30" t="s">
        <v>71</v>
      </c>
      <c r="AB10" s="106">
        <v>58.3</v>
      </c>
      <c r="AC10" s="20" t="s">
        <v>60</v>
      </c>
      <c r="AD10" s="55" t="s">
        <v>183</v>
      </c>
      <c r="AE10" s="20">
        <v>4.6669999999999998</v>
      </c>
      <c r="AF10" s="20">
        <v>1</v>
      </c>
      <c r="AG10" s="33">
        <f t="shared" si="0"/>
        <v>2.6625000000000227</v>
      </c>
      <c r="AH10" s="34">
        <f t="shared" si="1"/>
        <v>1.3312500000000114</v>
      </c>
      <c r="AI10">
        <v>65.519999999999897</v>
      </c>
      <c r="AJ10" s="34">
        <f t="shared" si="2"/>
        <v>2.6624999999999091</v>
      </c>
      <c r="AK10" s="34">
        <f t="shared" si="3"/>
        <v>1.3312499999999545</v>
      </c>
      <c r="AL10" s="35">
        <f t="shared" si="5"/>
        <v>-1.1368683772161603E-13</v>
      </c>
      <c r="AM10" s="35">
        <f t="shared" si="5"/>
        <v>-5.6843418860808015E-14</v>
      </c>
      <c r="AN10" s="35">
        <f t="shared" si="4"/>
        <v>-3.3180055925008389E-14</v>
      </c>
      <c r="AO10" s="58"/>
      <c r="AP10" s="58"/>
      <c r="AQ10" s="58"/>
      <c r="AR10" s="58"/>
    </row>
    <row r="11" spans="1:44" ht="17" x14ac:dyDescent="0.2">
      <c r="A11" s="20" t="s">
        <v>184</v>
      </c>
      <c r="B11" s="20" t="s">
        <v>90</v>
      </c>
      <c r="C11" s="20" t="s">
        <v>185</v>
      </c>
      <c r="D11" s="41" t="s">
        <v>159</v>
      </c>
      <c r="E11" s="20" t="s">
        <v>92</v>
      </c>
      <c r="F11" s="20" t="s">
        <v>79</v>
      </c>
      <c r="G11" s="20">
        <v>28.5</v>
      </c>
      <c r="H11" s="20">
        <v>79.5</v>
      </c>
      <c r="I11" s="23">
        <v>40817</v>
      </c>
      <c r="J11" s="23">
        <v>41365</v>
      </c>
      <c r="K11" s="20" t="s">
        <v>56</v>
      </c>
      <c r="L11" s="20">
        <v>2</v>
      </c>
      <c r="M11" s="20"/>
      <c r="N11" s="36"/>
      <c r="O11" s="36">
        <v>0.73</v>
      </c>
      <c r="P11" s="26">
        <f>10000*W11*U11*(O11/100)</f>
        <v>15.439500000000001</v>
      </c>
      <c r="Q11" s="28"/>
      <c r="R11" s="36"/>
      <c r="S11" s="36">
        <v>0.76</v>
      </c>
      <c r="T11" s="101">
        <f>10000*X11*U11*(S11/100)</f>
        <v>16.302</v>
      </c>
      <c r="U11" s="20">
        <v>0.15</v>
      </c>
      <c r="V11" s="20" t="s">
        <v>93</v>
      </c>
      <c r="W11" s="20">
        <v>1.41</v>
      </c>
      <c r="X11" s="20">
        <v>1.43</v>
      </c>
      <c r="Y11" s="20" t="s">
        <v>60</v>
      </c>
      <c r="Z11" s="29" t="s">
        <v>94</v>
      </c>
      <c r="AA11" s="30" t="s">
        <v>81</v>
      </c>
      <c r="AB11" s="102">
        <v>28.4444444444444</v>
      </c>
      <c r="AC11" s="20" t="s">
        <v>70</v>
      </c>
      <c r="AD11" s="55" t="s">
        <v>186</v>
      </c>
      <c r="AE11" s="20">
        <v>4.6669999999999998</v>
      </c>
      <c r="AF11" s="20">
        <v>1</v>
      </c>
      <c r="AG11" s="33">
        <f t="shared" si="0"/>
        <v>0.86249999999999893</v>
      </c>
      <c r="AH11" s="34">
        <f t="shared" si="1"/>
        <v>0.43124999999999947</v>
      </c>
      <c r="AI11">
        <v>16.302</v>
      </c>
      <c r="AJ11" s="34">
        <f t="shared" si="2"/>
        <v>0.86249999999999893</v>
      </c>
      <c r="AK11" s="34">
        <f t="shared" si="3"/>
        <v>0.43124999999999947</v>
      </c>
      <c r="AL11" s="35">
        <f t="shared" si="5"/>
        <v>0</v>
      </c>
      <c r="AM11" s="35">
        <f t="shared" si="5"/>
        <v>0</v>
      </c>
      <c r="AN11" s="35">
        <f t="shared" si="4"/>
        <v>2.3663362935799626E-14</v>
      </c>
      <c r="AO11" s="58"/>
      <c r="AP11" s="58"/>
      <c r="AQ11" s="58"/>
      <c r="AR11" s="58"/>
    </row>
    <row r="12" spans="1:44" ht="17" x14ac:dyDescent="0.2">
      <c r="A12" s="20" t="s">
        <v>101</v>
      </c>
      <c r="B12" s="20" t="s">
        <v>102</v>
      </c>
      <c r="C12" s="20" t="s">
        <v>187</v>
      </c>
      <c r="D12" s="41" t="s">
        <v>159</v>
      </c>
      <c r="E12" s="20" t="s">
        <v>104</v>
      </c>
      <c r="F12" s="20" t="s">
        <v>67</v>
      </c>
      <c r="G12" s="20">
        <v>-17.607842999999999</v>
      </c>
      <c r="H12" s="20">
        <v>31.140328</v>
      </c>
      <c r="I12" s="23">
        <v>36831</v>
      </c>
      <c r="J12" s="23">
        <v>37376</v>
      </c>
      <c r="K12" s="20" t="s">
        <v>105</v>
      </c>
      <c r="L12" s="20">
        <v>2</v>
      </c>
      <c r="M12" s="20"/>
      <c r="N12" s="36"/>
      <c r="O12" s="36"/>
      <c r="P12" s="101">
        <v>6.32</v>
      </c>
      <c r="Q12" s="28"/>
      <c r="R12" s="36"/>
      <c r="S12" s="36"/>
      <c r="T12" s="101">
        <v>6.35</v>
      </c>
      <c r="U12" s="20">
        <v>0.2</v>
      </c>
      <c r="V12" s="55" t="s">
        <v>166</v>
      </c>
      <c r="W12" s="41">
        <v>1.5329999999999999</v>
      </c>
      <c r="X12" s="41">
        <v>1.5329999999999999</v>
      </c>
      <c r="Y12" s="20" t="s">
        <v>70</v>
      </c>
      <c r="Z12" s="29" t="s">
        <v>69</v>
      </c>
      <c r="AA12" s="30" t="s">
        <v>106</v>
      </c>
      <c r="AB12" s="106">
        <v>22</v>
      </c>
      <c r="AC12" s="20" t="s">
        <v>60</v>
      </c>
      <c r="AD12" s="55"/>
      <c r="AE12" s="20">
        <v>4.6669999999999998</v>
      </c>
      <c r="AF12" s="20">
        <v>1</v>
      </c>
      <c r="AG12" s="33">
        <f t="shared" si="0"/>
        <v>2.9999999999999361E-2</v>
      </c>
      <c r="AH12" s="34">
        <f t="shared" si="1"/>
        <v>1.499999999999968E-2</v>
      </c>
      <c r="AI12">
        <v>6.3499999999999499</v>
      </c>
      <c r="AJ12" s="34">
        <f t="shared" si="2"/>
        <v>2.9999999999949623E-2</v>
      </c>
      <c r="AK12" s="34">
        <f t="shared" si="3"/>
        <v>1.4999999999974811E-2</v>
      </c>
      <c r="AL12" s="35">
        <f t="shared" si="5"/>
        <v>-4.9737991503207013E-14</v>
      </c>
      <c r="AM12" s="35">
        <f t="shared" si="5"/>
        <v>-2.4868995751603507E-14</v>
      </c>
      <c r="AN12" s="35">
        <f t="shared" si="4"/>
        <v>-1.2056328158038809E-15</v>
      </c>
      <c r="AO12" s="58"/>
      <c r="AP12" s="58"/>
      <c r="AQ12" s="58"/>
      <c r="AR12" s="58"/>
    </row>
    <row r="13" spans="1:44" ht="17" x14ac:dyDescent="0.2">
      <c r="A13" s="20" t="s">
        <v>108</v>
      </c>
      <c r="B13" s="20" t="s">
        <v>188</v>
      </c>
      <c r="C13" s="20" t="s">
        <v>188</v>
      </c>
      <c r="D13" s="41" t="s">
        <v>159</v>
      </c>
      <c r="E13" s="20" t="s">
        <v>189</v>
      </c>
      <c r="F13" s="20" t="s">
        <v>79</v>
      </c>
      <c r="G13" s="20">
        <v>13.0785</v>
      </c>
      <c r="H13" s="20">
        <v>77.570115999999999</v>
      </c>
      <c r="I13" s="23">
        <v>39288</v>
      </c>
      <c r="J13" s="23">
        <v>39387</v>
      </c>
      <c r="K13" s="20" t="s">
        <v>68</v>
      </c>
      <c r="L13" s="20">
        <v>1</v>
      </c>
      <c r="M13" s="20"/>
      <c r="N13" s="36"/>
      <c r="O13" s="105">
        <v>0.56000000000000005</v>
      </c>
      <c r="P13" s="26">
        <f t="shared" ref="P13:P19" si="6">10000*W13*U13*(O13/100)</f>
        <v>11.491200000000001</v>
      </c>
      <c r="Q13" s="20"/>
      <c r="R13" s="36"/>
      <c r="S13" s="36">
        <v>0.67</v>
      </c>
      <c r="T13" s="101">
        <f t="shared" ref="T13:T19" si="7">10000*X13*U13*(S13/100)</f>
        <v>13.7484</v>
      </c>
      <c r="U13" s="20">
        <v>0.15</v>
      </c>
      <c r="V13" s="55" t="s">
        <v>166</v>
      </c>
      <c r="W13" s="55">
        <v>1.3680000000000001</v>
      </c>
      <c r="X13" s="55">
        <v>1.3680000000000001</v>
      </c>
      <c r="Y13" s="20" t="s">
        <v>70</v>
      </c>
      <c r="Z13" s="29" t="s">
        <v>69</v>
      </c>
      <c r="AA13" s="30" t="s">
        <v>106</v>
      </c>
      <c r="AB13" s="104">
        <v>17.399999999999999</v>
      </c>
      <c r="AC13" s="20" t="s">
        <v>60</v>
      </c>
      <c r="AD13" s="55" t="s">
        <v>190</v>
      </c>
      <c r="AE13" s="20">
        <v>4.6669999999999998</v>
      </c>
      <c r="AF13" s="20">
        <v>1</v>
      </c>
      <c r="AG13" s="33">
        <f t="shared" si="0"/>
        <v>2.2571999999999992</v>
      </c>
      <c r="AH13" s="34">
        <f t="shared" si="1"/>
        <v>2.2571999999999992</v>
      </c>
      <c r="AI13">
        <v>13.7484</v>
      </c>
      <c r="AJ13" s="34">
        <f t="shared" si="2"/>
        <v>2.2571999999999992</v>
      </c>
      <c r="AK13" s="34">
        <f t="shared" si="3"/>
        <v>2.2571999999999992</v>
      </c>
      <c r="AL13" s="35">
        <f t="shared" si="5"/>
        <v>0</v>
      </c>
      <c r="AM13" s="35">
        <f t="shared" si="5"/>
        <v>0</v>
      </c>
      <c r="AN13" s="35">
        <f t="shared" si="4"/>
        <v>2.3663362935799626E-14</v>
      </c>
      <c r="AO13" s="58"/>
      <c r="AP13" s="58"/>
      <c r="AQ13" s="58"/>
      <c r="AR13" s="58"/>
    </row>
    <row r="14" spans="1:44" ht="17" x14ac:dyDescent="0.2">
      <c r="A14" s="20" t="s">
        <v>191</v>
      </c>
      <c r="B14" s="20" t="s">
        <v>192</v>
      </c>
      <c r="C14" s="20" t="s">
        <v>193</v>
      </c>
      <c r="D14" s="41" t="s">
        <v>159</v>
      </c>
      <c r="E14" s="20" t="s">
        <v>194</v>
      </c>
      <c r="F14" s="20" t="s">
        <v>67</v>
      </c>
      <c r="G14" s="20">
        <v>-13.989777780000001</v>
      </c>
      <c r="H14" s="20">
        <v>33.643555560000003</v>
      </c>
      <c r="I14" s="23">
        <v>40848</v>
      </c>
      <c r="J14" s="23">
        <v>41365</v>
      </c>
      <c r="K14" s="20" t="s">
        <v>68</v>
      </c>
      <c r="L14" s="20">
        <v>2</v>
      </c>
      <c r="M14" s="20"/>
      <c r="N14" s="36"/>
      <c r="O14" s="36">
        <v>1.25</v>
      </c>
      <c r="P14" s="26">
        <f t="shared" si="6"/>
        <v>34.325000000000003</v>
      </c>
      <c r="Q14" s="28"/>
      <c r="R14" s="36"/>
      <c r="S14" s="36">
        <v>1.63</v>
      </c>
      <c r="T14" s="101">
        <f t="shared" si="7"/>
        <v>44.759799999999998</v>
      </c>
      <c r="U14" s="20">
        <v>0.2</v>
      </c>
      <c r="V14" s="20" t="s">
        <v>59</v>
      </c>
      <c r="W14" s="20">
        <v>1.373</v>
      </c>
      <c r="X14" s="20">
        <v>1.373</v>
      </c>
      <c r="Y14" s="20" t="s">
        <v>70</v>
      </c>
      <c r="Z14" s="29" t="s">
        <v>195</v>
      </c>
      <c r="AA14" s="30" t="s">
        <v>106</v>
      </c>
      <c r="AB14" s="102">
        <v>25.886111111111099</v>
      </c>
      <c r="AC14" s="20" t="s">
        <v>70</v>
      </c>
      <c r="AD14" s="55" t="s">
        <v>196</v>
      </c>
      <c r="AE14" s="20">
        <v>4.6669999999999998</v>
      </c>
      <c r="AF14" s="20">
        <v>1</v>
      </c>
      <c r="AG14" s="33">
        <f t="shared" si="0"/>
        <v>10.434799999999996</v>
      </c>
      <c r="AH14" s="34">
        <f t="shared" si="1"/>
        <v>5.2173999999999978</v>
      </c>
      <c r="AI14">
        <v>44.759799999999899</v>
      </c>
      <c r="AJ14" s="34">
        <f t="shared" si="2"/>
        <v>10.434799999999896</v>
      </c>
      <c r="AK14" s="34">
        <f t="shared" si="3"/>
        <v>5.2173999999999481</v>
      </c>
      <c r="AL14" s="35">
        <f t="shared" si="5"/>
        <v>-9.9475983006414026E-14</v>
      </c>
      <c r="AM14" s="35">
        <f t="shared" si="5"/>
        <v>-4.9737991503207013E-14</v>
      </c>
      <c r="AN14" s="35">
        <f t="shared" si="4"/>
        <v>-2.6074628567407387E-14</v>
      </c>
      <c r="AO14" s="58"/>
      <c r="AP14" s="58"/>
      <c r="AQ14" s="58"/>
      <c r="AR14" s="58"/>
    </row>
    <row r="15" spans="1:44" ht="17" x14ac:dyDescent="0.2">
      <c r="A15" s="20" t="s">
        <v>197</v>
      </c>
      <c r="B15" s="20" t="s">
        <v>198</v>
      </c>
      <c r="C15" s="20" t="s">
        <v>199</v>
      </c>
      <c r="D15" s="41" t="s">
        <v>159</v>
      </c>
      <c r="E15" s="20" t="s">
        <v>200</v>
      </c>
      <c r="F15" s="20" t="s">
        <v>79</v>
      </c>
      <c r="G15" s="20">
        <v>25.518119479999999</v>
      </c>
      <c r="H15" s="20">
        <v>68.669563289999999</v>
      </c>
      <c r="I15" s="23">
        <v>43862</v>
      </c>
      <c r="J15" s="23">
        <v>44255</v>
      </c>
      <c r="K15" s="20" t="s">
        <v>80</v>
      </c>
      <c r="L15" s="20">
        <v>1</v>
      </c>
      <c r="M15" s="20" t="s">
        <v>178</v>
      </c>
      <c r="N15" s="36">
        <v>0.6</v>
      </c>
      <c r="O15" s="36">
        <f>N15/1.72</f>
        <v>0.34883720930232559</v>
      </c>
      <c r="P15" s="26">
        <f t="shared" si="6"/>
        <v>15.572093023255814</v>
      </c>
      <c r="Q15" s="20" t="s">
        <v>178</v>
      </c>
      <c r="R15" s="101">
        <f>S15*1.72</f>
        <v>0.83419999999999994</v>
      </c>
      <c r="S15" s="36">
        <v>0.48499999999999999</v>
      </c>
      <c r="T15" s="101">
        <f t="shared" si="7"/>
        <v>21.650400000000001</v>
      </c>
      <c r="U15" s="20">
        <v>0.3</v>
      </c>
      <c r="V15" s="20" t="s">
        <v>59</v>
      </c>
      <c r="W15" s="20">
        <v>1.488</v>
      </c>
      <c r="X15" s="20">
        <v>1.488</v>
      </c>
      <c r="Y15" s="20" t="s">
        <v>70</v>
      </c>
      <c r="Z15" s="29" t="s">
        <v>94</v>
      </c>
      <c r="AA15" s="30" t="s">
        <v>81</v>
      </c>
      <c r="AB15" s="102">
        <v>39.927441077441003</v>
      </c>
      <c r="AC15" s="20" t="s">
        <v>70</v>
      </c>
      <c r="AD15" s="55" t="s">
        <v>201</v>
      </c>
      <c r="AE15" s="20">
        <v>4.6669999999999998</v>
      </c>
      <c r="AF15" s="20">
        <v>1</v>
      </c>
      <c r="AG15" s="33">
        <f t="shared" si="0"/>
        <v>6.0783069767441873</v>
      </c>
      <c r="AH15" s="34">
        <f t="shared" si="1"/>
        <v>6.0783069767441873</v>
      </c>
      <c r="AI15">
        <v>21.650399999999902</v>
      </c>
      <c r="AJ15" s="34">
        <f t="shared" si="2"/>
        <v>6.0783069767440878</v>
      </c>
      <c r="AK15" s="34">
        <f t="shared" si="3"/>
        <v>6.0783069767440878</v>
      </c>
      <c r="AL15" s="35">
        <f t="shared" si="5"/>
        <v>-9.9475983006414026E-14</v>
      </c>
      <c r="AM15" s="35">
        <f t="shared" si="5"/>
        <v>-9.9475983006414026E-14</v>
      </c>
      <c r="AN15" s="35">
        <f t="shared" si="4"/>
        <v>-7.58126200706144E-14</v>
      </c>
      <c r="AO15" s="58"/>
      <c r="AP15" s="58"/>
      <c r="AQ15" s="58"/>
      <c r="AR15" s="58"/>
    </row>
    <row r="16" spans="1:44" ht="17" x14ac:dyDescent="0.2">
      <c r="A16" s="20" t="s">
        <v>202</v>
      </c>
      <c r="B16" s="20" t="s">
        <v>203</v>
      </c>
      <c r="C16" s="20" t="s">
        <v>203</v>
      </c>
      <c r="D16" s="41" t="s">
        <v>159</v>
      </c>
      <c r="E16" s="20" t="s">
        <v>204</v>
      </c>
      <c r="F16" s="20" t="s">
        <v>55</v>
      </c>
      <c r="G16" s="20">
        <v>31.55</v>
      </c>
      <c r="H16" s="20">
        <v>73.116699999999994</v>
      </c>
      <c r="I16" s="23">
        <v>42095</v>
      </c>
      <c r="J16" s="23">
        <v>43008</v>
      </c>
      <c r="K16" s="20" t="s">
        <v>105</v>
      </c>
      <c r="L16" s="20">
        <v>2</v>
      </c>
      <c r="M16" s="20" t="s">
        <v>87</v>
      </c>
      <c r="N16" s="36">
        <v>5.8</v>
      </c>
      <c r="O16" s="36">
        <f>N16/10</f>
        <v>0.57999999999999996</v>
      </c>
      <c r="P16" s="26">
        <f t="shared" si="6"/>
        <v>17.747999999999998</v>
      </c>
      <c r="Q16" s="20" t="s">
        <v>87</v>
      </c>
      <c r="R16" s="36">
        <v>10.8</v>
      </c>
      <c r="S16" s="36">
        <f>R16/10</f>
        <v>1.08</v>
      </c>
      <c r="T16" s="101">
        <f t="shared" si="7"/>
        <v>32.832000000000001</v>
      </c>
      <c r="U16" s="20">
        <v>0.2</v>
      </c>
      <c r="V16" s="20" t="s">
        <v>59</v>
      </c>
      <c r="W16" s="20">
        <v>1.53</v>
      </c>
      <c r="X16" s="20">
        <v>1.52</v>
      </c>
      <c r="Y16" s="20" t="s">
        <v>60</v>
      </c>
      <c r="Z16" s="29" t="s">
        <v>94</v>
      </c>
      <c r="AA16" s="30" t="s">
        <v>61</v>
      </c>
      <c r="AB16" s="102">
        <v>21.2359649122807</v>
      </c>
      <c r="AC16" s="20" t="s">
        <v>70</v>
      </c>
      <c r="AD16" s="44" t="s">
        <v>205</v>
      </c>
      <c r="AE16" s="20">
        <v>4.6669999999999998</v>
      </c>
      <c r="AF16" s="20">
        <v>1</v>
      </c>
      <c r="AG16" s="33">
        <f t="shared" si="0"/>
        <v>15.084000000000003</v>
      </c>
      <c r="AH16" s="34">
        <f t="shared" si="1"/>
        <v>7.5420000000000016</v>
      </c>
      <c r="AI16">
        <v>32.831999999999901</v>
      </c>
      <c r="AJ16" s="34">
        <f t="shared" si="2"/>
        <v>15.083999999999904</v>
      </c>
      <c r="AK16" s="34">
        <f t="shared" si="3"/>
        <v>7.5419999999999519</v>
      </c>
      <c r="AL16" s="35">
        <f t="shared" si="5"/>
        <v>-9.9475983006414026E-14</v>
      </c>
      <c r="AM16" s="35">
        <f t="shared" si="5"/>
        <v>-4.9737991503207013E-14</v>
      </c>
      <c r="AN16" s="35">
        <f t="shared" si="4"/>
        <v>-2.6074628567407387E-14</v>
      </c>
      <c r="AO16" s="58"/>
      <c r="AP16" s="58"/>
      <c r="AQ16" s="58"/>
      <c r="AR16" s="58"/>
    </row>
    <row r="17" spans="1:44" ht="17" x14ac:dyDescent="0.2">
      <c r="A17" s="20" t="s">
        <v>206</v>
      </c>
      <c r="B17" s="20" t="s">
        <v>207</v>
      </c>
      <c r="C17" s="20" t="s">
        <v>208</v>
      </c>
      <c r="D17" s="41" t="s">
        <v>159</v>
      </c>
      <c r="E17" s="20" t="s">
        <v>209</v>
      </c>
      <c r="F17" s="20" t="s">
        <v>79</v>
      </c>
      <c r="G17" s="20">
        <v>14.62</v>
      </c>
      <c r="H17" s="20">
        <v>77.52</v>
      </c>
      <c r="I17" s="23">
        <v>31199</v>
      </c>
      <c r="J17" s="23">
        <v>41943</v>
      </c>
      <c r="K17" s="20" t="s">
        <v>68</v>
      </c>
      <c r="L17" s="20">
        <v>29</v>
      </c>
      <c r="M17" s="20"/>
      <c r="N17" s="36"/>
      <c r="O17" s="36">
        <v>0.5</v>
      </c>
      <c r="P17" s="26">
        <f t="shared" si="6"/>
        <v>15.31</v>
      </c>
      <c r="Q17" s="28"/>
      <c r="R17" s="36"/>
      <c r="S17" s="36">
        <v>0.67</v>
      </c>
      <c r="T17" s="101">
        <f t="shared" si="7"/>
        <v>20.5154</v>
      </c>
      <c r="U17" s="20">
        <v>0.2</v>
      </c>
      <c r="V17" s="20" t="s">
        <v>59</v>
      </c>
      <c r="W17" s="20">
        <v>1.5309999999999999</v>
      </c>
      <c r="X17" s="20">
        <v>1.5309999999999999</v>
      </c>
      <c r="Y17" s="20" t="s">
        <v>70</v>
      </c>
      <c r="Z17" s="29" t="s">
        <v>161</v>
      </c>
      <c r="AA17" s="30" t="s">
        <v>81</v>
      </c>
      <c r="AB17" s="102">
        <v>33.7424242424242</v>
      </c>
      <c r="AC17" s="20" t="s">
        <v>70</v>
      </c>
      <c r="AD17" s="55" t="s">
        <v>210</v>
      </c>
      <c r="AE17" s="20">
        <v>4.6669999999999998</v>
      </c>
      <c r="AF17" s="20">
        <v>1</v>
      </c>
      <c r="AG17" s="33">
        <f t="shared" si="0"/>
        <v>5.2053999999999991</v>
      </c>
      <c r="AH17" s="34">
        <f t="shared" si="1"/>
        <v>0.17949655172413789</v>
      </c>
      <c r="AI17">
        <v>20.5153999999993</v>
      </c>
      <c r="AJ17" s="34">
        <f t="shared" si="2"/>
        <v>5.2053999999992993</v>
      </c>
      <c r="AK17" s="34">
        <f t="shared" si="3"/>
        <v>0.17949655172411377</v>
      </c>
      <c r="AL17" s="35">
        <f t="shared" si="5"/>
        <v>-6.9988459472369868E-13</v>
      </c>
      <c r="AM17" s="35">
        <f t="shared" si="5"/>
        <v>-2.4119595209981526E-14</v>
      </c>
      <c r="AN17" s="35">
        <f t="shared" si="4"/>
        <v>-4.5623227418190027E-16</v>
      </c>
      <c r="AO17" s="58"/>
      <c r="AP17" s="58"/>
      <c r="AQ17" s="58"/>
      <c r="AR17" s="58"/>
    </row>
    <row r="18" spans="1:44" ht="17" x14ac:dyDescent="0.2">
      <c r="A18" s="20" t="s">
        <v>211</v>
      </c>
      <c r="B18" s="20" t="s">
        <v>119</v>
      </c>
      <c r="C18" s="20" t="s">
        <v>212</v>
      </c>
      <c r="D18" s="41" t="s">
        <v>159</v>
      </c>
      <c r="E18" s="20" t="s">
        <v>121</v>
      </c>
      <c r="F18" s="20" t="s">
        <v>55</v>
      </c>
      <c r="G18" s="20">
        <v>-26.495000000000001</v>
      </c>
      <c r="H18" s="20">
        <v>26.601944</v>
      </c>
      <c r="I18" s="23">
        <v>39753</v>
      </c>
      <c r="J18" s="23">
        <v>41759</v>
      </c>
      <c r="K18" s="20" t="s">
        <v>105</v>
      </c>
      <c r="L18" s="20">
        <v>6</v>
      </c>
      <c r="M18" s="20"/>
      <c r="N18" s="36"/>
      <c r="O18" s="103">
        <f>(0.45+0.41)/2</f>
        <v>0.43</v>
      </c>
      <c r="P18" s="26">
        <f t="shared" si="6"/>
        <v>20.64</v>
      </c>
      <c r="Q18" s="20"/>
      <c r="R18" s="36"/>
      <c r="S18" s="36">
        <v>0.41</v>
      </c>
      <c r="T18" s="101">
        <f t="shared" si="7"/>
        <v>19.679999999999996</v>
      </c>
      <c r="U18" s="20">
        <v>0.3</v>
      </c>
      <c r="V18" s="55" t="s">
        <v>166</v>
      </c>
      <c r="W18" s="20">
        <v>1.6</v>
      </c>
      <c r="X18" s="20">
        <v>1.6</v>
      </c>
      <c r="Y18" s="20" t="s">
        <v>60</v>
      </c>
      <c r="Z18" s="29" t="s">
        <v>69</v>
      </c>
      <c r="AA18" s="30" t="s">
        <v>106</v>
      </c>
      <c r="AB18" s="106">
        <f>(17+22)/2</f>
        <v>19.5</v>
      </c>
      <c r="AC18" s="20" t="s">
        <v>60</v>
      </c>
      <c r="AD18" s="55" t="s">
        <v>213</v>
      </c>
      <c r="AE18" s="20">
        <v>4.6669999999999998</v>
      </c>
      <c r="AF18" s="20">
        <v>1</v>
      </c>
      <c r="AG18" s="33">
        <f t="shared" si="0"/>
        <v>-0.96000000000000441</v>
      </c>
      <c r="AH18" s="34">
        <f t="shared" si="1"/>
        <v>-0.16000000000000072</v>
      </c>
      <c r="AI18">
        <v>19.6799999999999</v>
      </c>
      <c r="AJ18" s="34">
        <f t="shared" si="2"/>
        <v>-0.96000000000010033</v>
      </c>
      <c r="AK18" s="34">
        <f t="shared" si="3"/>
        <v>-0.16000000000001671</v>
      </c>
      <c r="AL18" s="35">
        <f t="shared" si="5"/>
        <v>-9.5923269327613525E-14</v>
      </c>
      <c r="AM18" s="35">
        <f t="shared" si="5"/>
        <v>-1.5987211554602254E-14</v>
      </c>
      <c r="AN18" s="35">
        <f t="shared" si="4"/>
        <v>7.6761513811973714E-15</v>
      </c>
      <c r="AO18" s="58"/>
      <c r="AP18" s="58"/>
      <c r="AQ18" s="58"/>
      <c r="AR18" s="58"/>
    </row>
    <row r="19" spans="1:44" ht="17" x14ac:dyDescent="0.2">
      <c r="A19" s="20" t="s">
        <v>211</v>
      </c>
      <c r="B19" s="20" t="s">
        <v>119</v>
      </c>
      <c r="C19" s="20" t="s">
        <v>214</v>
      </c>
      <c r="D19" s="41" t="s">
        <v>159</v>
      </c>
      <c r="E19" s="20" t="s">
        <v>124</v>
      </c>
      <c r="F19" s="20" t="s">
        <v>55</v>
      </c>
      <c r="G19" s="20">
        <v>-25.615278</v>
      </c>
      <c r="H19" s="20">
        <v>28.315556000000001</v>
      </c>
      <c r="I19" s="23">
        <v>39753</v>
      </c>
      <c r="J19" s="23">
        <v>41394</v>
      </c>
      <c r="K19" s="20" t="s">
        <v>105</v>
      </c>
      <c r="L19" s="20">
        <v>5</v>
      </c>
      <c r="M19" s="20"/>
      <c r="N19" s="36"/>
      <c r="O19" s="103">
        <f>(1.286+2*1.292)/3</f>
        <v>1.29</v>
      </c>
      <c r="P19" s="26">
        <f t="shared" si="6"/>
        <v>56.115000000000002</v>
      </c>
      <c r="Q19" s="20"/>
      <c r="R19" s="36"/>
      <c r="S19" s="36">
        <v>1.33</v>
      </c>
      <c r="T19" s="101">
        <f t="shared" si="7"/>
        <v>57.855000000000004</v>
      </c>
      <c r="U19" s="20">
        <v>0.3</v>
      </c>
      <c r="V19" s="55" t="s">
        <v>166</v>
      </c>
      <c r="W19" s="20">
        <f>(1.4+1.5)/2</f>
        <v>1.45</v>
      </c>
      <c r="X19" s="20">
        <f>(1.4+1.5)/2</f>
        <v>1.45</v>
      </c>
      <c r="Y19" s="20" t="s">
        <v>60</v>
      </c>
      <c r="Z19" s="29" t="s">
        <v>69</v>
      </c>
      <c r="AA19" s="30" t="s">
        <v>106</v>
      </c>
      <c r="AB19" s="106">
        <f>(44*2+45)/3</f>
        <v>44.333333333333336</v>
      </c>
      <c r="AC19" s="20" t="s">
        <v>60</v>
      </c>
      <c r="AD19" s="55" t="s">
        <v>213</v>
      </c>
      <c r="AE19" s="20">
        <v>4.6669999999999998</v>
      </c>
      <c r="AF19" s="20">
        <v>1</v>
      </c>
      <c r="AG19" s="33">
        <f t="shared" si="0"/>
        <v>1.740000000000002</v>
      </c>
      <c r="AH19" s="34">
        <f t="shared" si="1"/>
        <v>0.34800000000000042</v>
      </c>
      <c r="AI19">
        <v>57.855000000000203</v>
      </c>
      <c r="AJ19" s="34">
        <f t="shared" si="2"/>
        <v>1.7400000000002009</v>
      </c>
      <c r="AK19" s="34">
        <f t="shared" si="3"/>
        <v>0.34800000000004017</v>
      </c>
      <c r="AL19" s="35">
        <f t="shared" si="5"/>
        <v>1.9895196601282805E-13</v>
      </c>
      <c r="AM19" s="35">
        <f t="shared" si="5"/>
        <v>3.9745984281580604E-14</v>
      </c>
      <c r="AN19" s="35">
        <f t="shared" si="4"/>
        <v>6.340934721738023E-14</v>
      </c>
      <c r="AO19" s="58"/>
      <c r="AP19" s="58"/>
      <c r="AQ19" s="58"/>
      <c r="AR19" s="58"/>
    </row>
    <row r="20" spans="1:44" x14ac:dyDescent="0.2">
      <c r="A20" s="56"/>
      <c r="B20" s="56"/>
      <c r="C20" s="56"/>
      <c r="D20" s="56"/>
      <c r="E20" s="56"/>
      <c r="F20" s="91"/>
      <c r="G20" s="91"/>
      <c r="H20" s="92"/>
      <c r="I20" s="56"/>
      <c r="J20" s="56"/>
      <c r="K20" s="56"/>
      <c r="L20" s="91"/>
      <c r="M20" s="93"/>
      <c r="N20" s="93"/>
      <c r="O20" s="93"/>
      <c r="P20" s="56"/>
      <c r="Q20" s="56"/>
      <c r="R20" s="56"/>
      <c r="S20" s="91"/>
      <c r="T20" s="56"/>
      <c r="U20" s="56"/>
      <c r="V20" s="56"/>
      <c r="W20" s="56"/>
      <c r="X20" s="56"/>
      <c r="Y20" s="56"/>
      <c r="Z20" s="56"/>
      <c r="AA20" s="56"/>
      <c r="AB20" s="56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5"/>
      <c r="AO20" s="58"/>
      <c r="AP20" s="58"/>
      <c r="AQ20" s="58"/>
      <c r="AR20" s="58"/>
    </row>
    <row r="21" spans="1:44" s="56" customFormat="1" ht="29" customHeight="1" x14ac:dyDescent="0.25">
      <c r="A21" s="107" t="s">
        <v>132</v>
      </c>
      <c r="E21" s="59"/>
      <c r="F21" s="108"/>
      <c r="G21" s="109"/>
      <c r="H21" s="109"/>
      <c r="I21" s="109"/>
      <c r="K21" s="110"/>
      <c r="L21" s="110"/>
      <c r="M21" s="108"/>
      <c r="N21" s="108"/>
      <c r="O21" s="108"/>
      <c r="P21" s="108"/>
      <c r="Q21" s="108"/>
      <c r="R21" s="110"/>
      <c r="S21" s="110"/>
      <c r="T21" s="110"/>
      <c r="U21" s="110"/>
      <c r="W21" s="110"/>
      <c r="X21" s="110"/>
      <c r="Y21" s="110"/>
      <c r="Z21" s="110"/>
      <c r="AA21" s="110"/>
      <c r="AB21" s="110"/>
    </row>
    <row r="22" spans="1:44" s="56" customFormat="1" ht="98" customHeight="1" x14ac:dyDescent="0.2">
      <c r="A22" s="94" t="s">
        <v>11</v>
      </c>
      <c r="B22" s="111" t="s">
        <v>133</v>
      </c>
      <c r="C22" s="111" t="s">
        <v>134</v>
      </c>
      <c r="D22" s="111" t="s">
        <v>135</v>
      </c>
      <c r="E22" s="111" t="s">
        <v>136</v>
      </c>
      <c r="F22" s="111" t="s">
        <v>137</v>
      </c>
      <c r="G22" s="109"/>
      <c r="I22" s="110"/>
      <c r="J22" s="110"/>
      <c r="K22" s="108"/>
      <c r="L22" s="110"/>
      <c r="M22" s="110"/>
      <c r="N22" s="110"/>
      <c r="O22" s="110"/>
      <c r="P22" s="110"/>
      <c r="Q22" s="110"/>
      <c r="V22" s="110"/>
      <c r="W22" s="110"/>
      <c r="X22" s="110"/>
      <c r="Y22" s="110"/>
      <c r="Z22" s="110"/>
      <c r="AA22" s="110"/>
    </row>
    <row r="23" spans="1:44" s="56" customFormat="1" ht="15.75" customHeight="1" x14ac:dyDescent="0.2">
      <c r="A23" s="20" t="s">
        <v>157</v>
      </c>
      <c r="B23" s="20">
        <v>1</v>
      </c>
      <c r="C23" s="20" t="s">
        <v>79</v>
      </c>
      <c r="D23" s="22">
        <v>4.6669999999999998</v>
      </c>
      <c r="E23" s="20">
        <v>28</v>
      </c>
      <c r="F23" s="112">
        <f>D23/E23</f>
        <v>0.16667857142857143</v>
      </c>
      <c r="G23" s="109"/>
      <c r="I23" s="110"/>
      <c r="J23" s="110"/>
      <c r="K23" s="113"/>
      <c r="L23" s="110"/>
      <c r="M23" s="113"/>
      <c r="N23" s="113"/>
      <c r="O23" s="113"/>
      <c r="P23" s="113"/>
      <c r="Q23" s="113"/>
      <c r="V23" s="110"/>
      <c r="W23" s="110"/>
      <c r="X23" s="110"/>
      <c r="Y23" s="110"/>
      <c r="Z23" s="110"/>
      <c r="AA23" s="110"/>
    </row>
    <row r="24" spans="1:44" s="56" customFormat="1" ht="15.75" customHeight="1" x14ac:dyDescent="0.2">
      <c r="A24" s="20" t="s">
        <v>164</v>
      </c>
      <c r="B24" s="20">
        <v>1</v>
      </c>
      <c r="C24" s="20" t="s">
        <v>79</v>
      </c>
      <c r="D24" s="22">
        <v>4.6669999999999998</v>
      </c>
      <c r="E24" s="20">
        <v>3</v>
      </c>
      <c r="F24" s="112">
        <f t="shared" ref="F24:F36" si="8">D24/E24</f>
        <v>1.5556666666666665</v>
      </c>
      <c r="G24" s="109"/>
      <c r="I24" s="110"/>
      <c r="J24" s="110"/>
      <c r="K24" s="113"/>
      <c r="L24" s="110"/>
      <c r="M24" s="113"/>
      <c r="N24" s="113"/>
      <c r="O24" s="113"/>
      <c r="P24" s="113"/>
      <c r="Q24" s="113"/>
      <c r="V24" s="110"/>
      <c r="W24" s="110"/>
      <c r="X24" s="110"/>
      <c r="Y24" s="110"/>
      <c r="Z24" s="110"/>
      <c r="AA24" s="110"/>
    </row>
    <row r="25" spans="1:44" s="56" customFormat="1" ht="15.75" customHeight="1" x14ac:dyDescent="0.2">
      <c r="A25" s="20" t="s">
        <v>169</v>
      </c>
      <c r="B25" s="20">
        <v>1</v>
      </c>
      <c r="C25" s="20" t="s">
        <v>55</v>
      </c>
      <c r="D25" s="22">
        <v>4.6669999999999998</v>
      </c>
      <c r="E25" s="20">
        <v>1</v>
      </c>
      <c r="F25" s="112">
        <f t="shared" si="8"/>
        <v>4.6669999999999998</v>
      </c>
      <c r="G25" s="109"/>
      <c r="I25" s="110"/>
      <c r="J25" s="110"/>
      <c r="K25" s="113"/>
      <c r="L25" s="110"/>
      <c r="M25" s="113"/>
      <c r="N25" s="113"/>
      <c r="O25" s="113"/>
      <c r="P25" s="113"/>
      <c r="Q25" s="113"/>
      <c r="V25" s="110"/>
      <c r="W25" s="110"/>
      <c r="X25" s="110"/>
      <c r="Y25" s="110"/>
      <c r="Z25" s="110"/>
      <c r="AA25" s="110"/>
    </row>
    <row r="26" spans="1:44" s="56" customFormat="1" ht="15.75" customHeight="1" x14ac:dyDescent="0.2">
      <c r="A26" s="20" t="s">
        <v>173</v>
      </c>
      <c r="B26" s="20">
        <v>1</v>
      </c>
      <c r="C26" s="20" t="s">
        <v>55</v>
      </c>
      <c r="D26" s="22">
        <v>4.6669999999999998</v>
      </c>
      <c r="E26" s="20">
        <v>7</v>
      </c>
      <c r="F26" s="112">
        <f t="shared" si="8"/>
        <v>0.6667142857142857</v>
      </c>
      <c r="G26" s="109"/>
      <c r="I26" s="110"/>
      <c r="J26" s="110"/>
      <c r="K26" s="113"/>
      <c r="L26" s="110"/>
      <c r="M26" s="113"/>
      <c r="N26" s="113"/>
      <c r="O26" s="113"/>
      <c r="P26" s="113"/>
      <c r="Q26" s="113"/>
      <c r="V26" s="110"/>
      <c r="W26" s="110"/>
      <c r="X26" s="110"/>
      <c r="Y26" s="110"/>
      <c r="Z26" s="110"/>
      <c r="AA26" s="110"/>
    </row>
    <row r="27" spans="1:44" s="56" customFormat="1" ht="15.75" customHeight="1" x14ac:dyDescent="0.2">
      <c r="A27" s="20" t="s">
        <v>51</v>
      </c>
      <c r="B27" s="20">
        <v>3</v>
      </c>
      <c r="C27" s="20" t="s">
        <v>55</v>
      </c>
      <c r="D27" s="22">
        <v>4.6669999999999998</v>
      </c>
      <c r="E27" s="20">
        <v>2</v>
      </c>
      <c r="F27" s="112">
        <f t="shared" si="8"/>
        <v>2.3334999999999999</v>
      </c>
      <c r="G27" s="109"/>
      <c r="I27" s="110"/>
      <c r="J27" s="110"/>
      <c r="K27" s="114"/>
      <c r="L27" s="110"/>
      <c r="M27" s="113"/>
      <c r="N27" s="113"/>
      <c r="O27" s="113"/>
      <c r="P27" s="113"/>
      <c r="Q27" s="113"/>
      <c r="V27" s="110"/>
      <c r="W27" s="110"/>
      <c r="X27" s="110"/>
      <c r="Y27" s="110"/>
      <c r="Z27" s="110"/>
      <c r="AA27" s="110"/>
    </row>
    <row r="28" spans="1:44" s="56" customFormat="1" ht="15.75" customHeight="1" x14ac:dyDescent="0.2">
      <c r="A28" s="20" t="s">
        <v>76</v>
      </c>
      <c r="B28" s="20">
        <v>1</v>
      </c>
      <c r="C28" s="20" t="s">
        <v>79</v>
      </c>
      <c r="D28" s="22">
        <v>4.6669999999999998</v>
      </c>
      <c r="E28" s="20">
        <v>2</v>
      </c>
      <c r="F28" s="112">
        <f t="shared" si="8"/>
        <v>2.3334999999999999</v>
      </c>
      <c r="G28" s="109"/>
      <c r="I28" s="110"/>
      <c r="J28" s="110"/>
      <c r="K28" s="113"/>
      <c r="L28" s="110"/>
      <c r="M28" s="113"/>
      <c r="N28" s="113"/>
      <c r="O28" s="113"/>
      <c r="P28" s="113"/>
      <c r="Q28" s="113"/>
      <c r="V28" s="110"/>
      <c r="W28" s="110"/>
      <c r="X28" s="110"/>
      <c r="Y28" s="110"/>
      <c r="Z28" s="110"/>
      <c r="AA28" s="110"/>
    </row>
    <row r="29" spans="1:44" s="56" customFormat="1" ht="15.75" customHeight="1" x14ac:dyDescent="0.2">
      <c r="A29" s="20" t="s">
        <v>182</v>
      </c>
      <c r="B29" s="20">
        <v>1</v>
      </c>
      <c r="C29" s="20" t="s">
        <v>67</v>
      </c>
      <c r="D29" s="22">
        <v>4.6669999999999998</v>
      </c>
      <c r="E29" s="20">
        <v>2</v>
      </c>
      <c r="F29" s="112">
        <f t="shared" si="8"/>
        <v>2.3334999999999999</v>
      </c>
      <c r="G29" s="109"/>
      <c r="I29" s="110"/>
      <c r="J29" s="110"/>
      <c r="K29" s="114"/>
      <c r="L29" s="110"/>
      <c r="M29" s="113"/>
      <c r="N29" s="113"/>
      <c r="O29" s="113"/>
      <c r="P29" s="113"/>
      <c r="Q29" s="113"/>
      <c r="V29" s="110"/>
      <c r="W29" s="110"/>
      <c r="X29" s="110"/>
      <c r="Y29" s="110"/>
      <c r="Z29" s="110"/>
      <c r="AA29" s="110"/>
    </row>
    <row r="30" spans="1:44" s="56" customFormat="1" ht="15.75" customHeight="1" x14ac:dyDescent="0.2">
      <c r="A30" s="20" t="s">
        <v>90</v>
      </c>
      <c r="B30" s="20">
        <v>1</v>
      </c>
      <c r="C30" s="20" t="s">
        <v>79</v>
      </c>
      <c r="D30" s="22">
        <v>4.6669999999999998</v>
      </c>
      <c r="E30" s="20">
        <v>2</v>
      </c>
      <c r="F30" s="112">
        <f t="shared" si="8"/>
        <v>2.3334999999999999</v>
      </c>
      <c r="G30" s="109"/>
      <c r="I30" s="110"/>
      <c r="J30" s="110"/>
      <c r="K30" s="115"/>
      <c r="L30" s="110"/>
      <c r="M30" s="113"/>
      <c r="N30" s="113"/>
      <c r="O30" s="113"/>
      <c r="P30" s="113"/>
      <c r="Q30" s="113"/>
      <c r="V30" s="110"/>
      <c r="W30" s="110"/>
      <c r="X30" s="110"/>
      <c r="Y30" s="110"/>
      <c r="Z30" s="110"/>
      <c r="AA30" s="110"/>
    </row>
    <row r="31" spans="1:44" s="56" customFormat="1" ht="15.75" customHeight="1" x14ac:dyDescent="0.2">
      <c r="A31" s="20" t="s">
        <v>187</v>
      </c>
      <c r="B31" s="20">
        <v>1</v>
      </c>
      <c r="C31" s="20" t="s">
        <v>67</v>
      </c>
      <c r="D31" s="22">
        <v>4.6669999999999998</v>
      </c>
      <c r="E31" s="20">
        <v>2</v>
      </c>
      <c r="F31" s="112">
        <f t="shared" si="8"/>
        <v>2.3334999999999999</v>
      </c>
      <c r="G31" s="109"/>
      <c r="I31" s="110"/>
      <c r="J31" s="110"/>
      <c r="K31" s="114"/>
      <c r="L31" s="110"/>
      <c r="M31" s="114"/>
      <c r="N31" s="114"/>
      <c r="O31" s="114"/>
      <c r="P31" s="114"/>
      <c r="Q31" s="114"/>
      <c r="V31" s="110"/>
      <c r="W31" s="110"/>
      <c r="X31" s="110"/>
      <c r="Y31" s="110"/>
      <c r="Z31" s="110"/>
      <c r="AA31" s="110"/>
    </row>
    <row r="32" spans="1:44" s="56" customFormat="1" ht="15.75" customHeight="1" x14ac:dyDescent="0.2">
      <c r="A32" s="20" t="s">
        <v>188</v>
      </c>
      <c r="B32" s="20">
        <v>1</v>
      </c>
      <c r="C32" s="20" t="s">
        <v>79</v>
      </c>
      <c r="D32" s="22">
        <v>4.6669999999999998</v>
      </c>
      <c r="E32" s="20">
        <v>1</v>
      </c>
      <c r="F32" s="112">
        <f t="shared" si="8"/>
        <v>4.6669999999999998</v>
      </c>
      <c r="G32" s="109"/>
      <c r="I32" s="110"/>
      <c r="J32" s="110"/>
      <c r="K32" s="114"/>
      <c r="L32" s="110"/>
      <c r="M32" s="114"/>
      <c r="N32" s="114"/>
      <c r="O32" s="114"/>
      <c r="P32" s="114"/>
      <c r="Q32" s="114"/>
      <c r="V32" s="110"/>
      <c r="W32" s="110"/>
      <c r="X32" s="110"/>
      <c r="Y32" s="110"/>
      <c r="Z32" s="110"/>
      <c r="AA32" s="110"/>
    </row>
    <row r="33" spans="1:44" s="56" customFormat="1" ht="15.75" customHeight="1" x14ac:dyDescent="0.2">
      <c r="A33" s="20" t="s">
        <v>192</v>
      </c>
      <c r="B33" s="20">
        <v>1</v>
      </c>
      <c r="C33" s="20" t="s">
        <v>67</v>
      </c>
      <c r="D33" s="22">
        <v>4.6669999999999998</v>
      </c>
      <c r="E33" s="20">
        <v>2</v>
      </c>
      <c r="F33" s="112">
        <f t="shared" si="8"/>
        <v>2.3334999999999999</v>
      </c>
      <c r="G33" s="109"/>
      <c r="I33" s="110"/>
      <c r="J33" s="110"/>
      <c r="K33" s="114"/>
      <c r="L33" s="110"/>
      <c r="M33" s="114"/>
      <c r="N33" s="114"/>
      <c r="O33" s="114"/>
      <c r="P33" s="114"/>
      <c r="Q33" s="114"/>
      <c r="V33" s="110"/>
      <c r="W33" s="110"/>
      <c r="X33" s="110"/>
      <c r="Y33" s="110"/>
      <c r="Z33" s="110"/>
      <c r="AA33" s="110"/>
    </row>
    <row r="34" spans="1:44" s="56" customFormat="1" ht="15.75" customHeight="1" x14ac:dyDescent="0.2">
      <c r="A34" s="20" t="s">
        <v>198</v>
      </c>
      <c r="B34" s="20">
        <v>1</v>
      </c>
      <c r="C34" s="20" t="s">
        <v>79</v>
      </c>
      <c r="D34" s="22">
        <v>4.6669999999999998</v>
      </c>
      <c r="E34" s="20">
        <v>1</v>
      </c>
      <c r="F34" s="112">
        <f t="shared" si="8"/>
        <v>4.6669999999999998</v>
      </c>
      <c r="G34" s="109"/>
      <c r="I34" s="110"/>
      <c r="J34" s="110"/>
      <c r="K34" s="114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1:44" s="56" customFormat="1" ht="15.75" customHeight="1" x14ac:dyDescent="0.2">
      <c r="A35" s="20" t="s">
        <v>203</v>
      </c>
      <c r="B35" s="20">
        <v>1</v>
      </c>
      <c r="C35" s="20" t="s">
        <v>55</v>
      </c>
      <c r="D35" s="22">
        <v>4.6669999999999998</v>
      </c>
      <c r="E35" s="20">
        <v>2</v>
      </c>
      <c r="F35" s="112">
        <f t="shared" si="8"/>
        <v>2.3334999999999999</v>
      </c>
      <c r="G35" s="109"/>
      <c r="I35" s="110"/>
      <c r="J35" s="110"/>
      <c r="K35" s="116"/>
      <c r="L35" s="110"/>
      <c r="M35" s="113"/>
      <c r="N35" s="113"/>
      <c r="O35" s="113"/>
      <c r="P35" s="113"/>
      <c r="Q35" s="113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1:44" s="56" customFormat="1" ht="15.75" customHeight="1" x14ac:dyDescent="0.2">
      <c r="A36" s="20" t="s">
        <v>207</v>
      </c>
      <c r="B36" s="20">
        <v>1</v>
      </c>
      <c r="C36" s="20" t="s">
        <v>79</v>
      </c>
      <c r="D36" s="22">
        <v>4.6669999999999998</v>
      </c>
      <c r="E36" s="20">
        <v>29</v>
      </c>
      <c r="F36" s="112">
        <f t="shared" si="8"/>
        <v>0.16093103448275861</v>
      </c>
      <c r="G36" s="109"/>
      <c r="I36" s="110"/>
      <c r="J36" s="110"/>
      <c r="K36" s="113"/>
      <c r="L36" s="110"/>
      <c r="M36" s="113"/>
      <c r="N36" s="113"/>
      <c r="O36" s="113"/>
      <c r="P36" s="113"/>
      <c r="Q36" s="113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1:44" s="56" customFormat="1" ht="15.75" customHeight="1" x14ac:dyDescent="0.2">
      <c r="A37" s="20" t="s">
        <v>119</v>
      </c>
      <c r="B37" s="22">
        <v>2</v>
      </c>
      <c r="C37" s="20" t="s">
        <v>55</v>
      </c>
      <c r="D37" s="22">
        <v>4.6669999999999998</v>
      </c>
      <c r="E37" s="20">
        <f>AVERAGE(L16:L17)</f>
        <v>15.5</v>
      </c>
      <c r="F37" s="112">
        <f>SQRT(AVERAGE(((AE18/L18)^2),((AE19/L19)^2)))</f>
        <v>0.85914499778688236</v>
      </c>
      <c r="G37" s="109"/>
      <c r="I37" s="110"/>
      <c r="J37" s="110"/>
      <c r="K37" s="113"/>
      <c r="L37" s="110"/>
      <c r="M37" s="113"/>
      <c r="N37" s="113"/>
      <c r="O37" s="113"/>
      <c r="P37" s="113"/>
      <c r="Q37" s="113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1:44" x14ac:dyDescent="0.2">
      <c r="A38" s="76"/>
      <c r="B38" s="76"/>
      <c r="C38" s="76"/>
      <c r="D38" s="76"/>
      <c r="E38" s="76"/>
      <c r="F38" s="117"/>
      <c r="G38" s="76"/>
      <c r="H38" s="76"/>
      <c r="I38" s="93"/>
      <c r="J38" s="56"/>
      <c r="K38" s="56"/>
      <c r="L38" s="56"/>
      <c r="M38" s="91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58"/>
      <c r="AP38" s="58"/>
      <c r="AQ38" s="58"/>
      <c r="AR38" s="58"/>
    </row>
    <row r="39" spans="1:44" x14ac:dyDescent="0.2">
      <c r="A39" s="56"/>
      <c r="B39" s="56"/>
      <c r="C39" s="56"/>
      <c r="D39" s="56"/>
      <c r="E39" s="56"/>
      <c r="F39" s="91"/>
      <c r="G39" s="93"/>
      <c r="H39" s="93"/>
      <c r="I39" s="93"/>
      <c r="J39" s="56"/>
      <c r="K39" s="56"/>
      <c r="L39" s="56"/>
      <c r="M39" s="91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58"/>
      <c r="AP39" s="58"/>
      <c r="AQ39" s="58"/>
      <c r="AR39" s="58"/>
    </row>
    <row r="40" spans="1:44" ht="22" x14ac:dyDescent="0.3">
      <c r="A40" s="118" t="s">
        <v>138</v>
      </c>
      <c r="B40" s="56"/>
      <c r="C40" s="56"/>
      <c r="D40" s="56"/>
      <c r="E40" s="91"/>
      <c r="F40" s="91"/>
      <c r="G40" s="92"/>
      <c r="H40" s="56"/>
      <c r="I40" s="56"/>
      <c r="J40" s="56"/>
      <c r="K40" s="91"/>
      <c r="L40" s="93"/>
      <c r="M40" s="93"/>
      <c r="N40" s="93"/>
      <c r="O40" s="56"/>
      <c r="P40" s="56"/>
      <c r="Q40" s="56"/>
      <c r="R40" s="91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58"/>
      <c r="AP40" s="58"/>
      <c r="AQ40" s="58"/>
      <c r="AR40" s="58"/>
    </row>
    <row r="41" spans="1:44" ht="34" x14ac:dyDescent="0.2">
      <c r="A41" s="74" t="s">
        <v>139</v>
      </c>
      <c r="B41" s="56"/>
      <c r="C41" s="56"/>
      <c r="D41" s="91"/>
      <c r="E41" s="91"/>
      <c r="F41" s="92"/>
      <c r="G41" s="56"/>
      <c r="H41" s="56"/>
      <c r="I41" s="56"/>
      <c r="J41" s="91"/>
      <c r="K41" s="93"/>
      <c r="L41" s="93"/>
      <c r="M41" s="93"/>
      <c r="N41" s="56"/>
      <c r="O41" s="56"/>
      <c r="P41" s="56"/>
      <c r="Q41" s="91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58"/>
      <c r="AO41" s="58"/>
      <c r="AP41" s="58"/>
      <c r="AQ41" s="58"/>
    </row>
    <row r="42" spans="1:44" x14ac:dyDescent="0.2">
      <c r="A42" s="65" cm="1">
        <f t="array" ref="A42">SQRT(SUM((F23:F37)^2 *( B23:B37 -1)) / (SUM(B23:B37 -1)))</f>
        <v>1.9688045973146768</v>
      </c>
      <c r="B42" s="56"/>
      <c r="C42" s="56"/>
      <c r="D42" s="91"/>
      <c r="E42" s="91"/>
      <c r="F42" s="92"/>
      <c r="G42" s="56"/>
      <c r="H42" s="56"/>
      <c r="I42" s="56"/>
      <c r="J42" s="91"/>
      <c r="K42" s="93"/>
      <c r="L42" s="93"/>
      <c r="M42" s="93"/>
      <c r="N42" s="56"/>
      <c r="O42" s="56"/>
      <c r="P42" s="56"/>
      <c r="Q42" s="91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58"/>
      <c r="AO42" s="58"/>
      <c r="AP42" s="58"/>
      <c r="AQ42" s="58"/>
    </row>
    <row r="43" spans="1:44" ht="15.75" customHeight="1" x14ac:dyDescent="0.2">
      <c r="B43" s="8"/>
      <c r="AO43" s="58"/>
      <c r="AP43" s="58"/>
      <c r="AQ43" s="58"/>
      <c r="AR43" s="58"/>
    </row>
    <row r="44" spans="1:44" ht="22" x14ac:dyDescent="0.3">
      <c r="A44" s="9" t="s">
        <v>140</v>
      </c>
      <c r="I44"/>
      <c r="J44"/>
      <c r="K44"/>
      <c r="O44"/>
      <c r="P44"/>
      <c r="Q44"/>
      <c r="R44"/>
    </row>
    <row r="45" spans="1:44" ht="46" customHeight="1" x14ac:dyDescent="0.2">
      <c r="A45" s="119" t="s">
        <v>11</v>
      </c>
      <c r="B45" s="79" t="s">
        <v>141</v>
      </c>
      <c r="C45" s="79" t="s">
        <v>142</v>
      </c>
      <c r="I45"/>
      <c r="J45"/>
      <c r="K45"/>
      <c r="O45"/>
      <c r="P45"/>
      <c r="Q45"/>
      <c r="R45"/>
    </row>
    <row r="46" spans="1:44" x14ac:dyDescent="0.2">
      <c r="A46" s="38" t="s">
        <v>157</v>
      </c>
      <c r="B46" s="120">
        <f t="shared" ref="B46:B59" si="9">AVERAGE(AM4)</f>
        <v>3.2085445411667024E-14</v>
      </c>
      <c r="C46" t="str">
        <f xml:space="preserve"> IF(ABS(B46)&lt;$A$42, "PASS", "FAIL")</f>
        <v>PASS</v>
      </c>
      <c r="I46"/>
      <c r="J46"/>
      <c r="K46"/>
      <c r="O46"/>
      <c r="P46"/>
      <c r="Q46"/>
      <c r="R46"/>
    </row>
    <row r="47" spans="1:44" x14ac:dyDescent="0.2">
      <c r="A47" s="38" t="s">
        <v>164</v>
      </c>
      <c r="B47" s="120">
        <f t="shared" si="9"/>
        <v>0</v>
      </c>
      <c r="C47" t="str">
        <f t="shared" ref="C47:C59" si="10" xml:space="preserve"> IF(ABS(B47)&lt;$A$42, "PASS", "FAIL")</f>
        <v>PASS</v>
      </c>
      <c r="I47"/>
      <c r="J47"/>
      <c r="K47"/>
      <c r="O47"/>
      <c r="P47"/>
      <c r="Q47"/>
      <c r="R47"/>
    </row>
    <row r="48" spans="1:44" x14ac:dyDescent="0.2">
      <c r="A48" s="38" t="s">
        <v>169</v>
      </c>
      <c r="B48" s="120">
        <f t="shared" si="9"/>
        <v>0</v>
      </c>
      <c r="C48" t="str">
        <f t="shared" si="10"/>
        <v>PASS</v>
      </c>
      <c r="I48"/>
      <c r="J48"/>
      <c r="K48"/>
      <c r="O48"/>
      <c r="P48"/>
      <c r="Q48"/>
      <c r="R48"/>
    </row>
    <row r="49" spans="1:44" x14ac:dyDescent="0.2">
      <c r="A49" s="38" t="s">
        <v>173</v>
      </c>
      <c r="B49" s="120">
        <f t="shared" si="9"/>
        <v>-5.6843418860808015E-14</v>
      </c>
      <c r="C49" t="str">
        <f t="shared" si="10"/>
        <v>PASS</v>
      </c>
      <c r="I49"/>
      <c r="J49"/>
      <c r="K49"/>
      <c r="O49"/>
      <c r="P49"/>
      <c r="Q49"/>
      <c r="R49"/>
    </row>
    <row r="50" spans="1:44" x14ac:dyDescent="0.2">
      <c r="A50" s="38" t="s">
        <v>51</v>
      </c>
      <c r="B50" s="120">
        <f t="shared" si="9"/>
        <v>-2.3092638912203256E-14</v>
      </c>
      <c r="C50" t="str">
        <f t="shared" si="10"/>
        <v>PASS</v>
      </c>
      <c r="I50"/>
      <c r="J50"/>
      <c r="K50"/>
      <c r="O50"/>
      <c r="P50"/>
      <c r="Q50"/>
      <c r="R50"/>
    </row>
    <row r="51" spans="1:44" x14ac:dyDescent="0.2">
      <c r="A51" s="38" t="s">
        <v>76</v>
      </c>
      <c r="B51" s="120">
        <f t="shared" si="9"/>
        <v>-4.9737991503207013E-14</v>
      </c>
      <c r="C51" t="str">
        <f t="shared" si="10"/>
        <v>PASS</v>
      </c>
      <c r="I51"/>
      <c r="J51"/>
      <c r="K51"/>
      <c r="O51"/>
      <c r="P51"/>
      <c r="Q51"/>
      <c r="R51"/>
    </row>
    <row r="52" spans="1:44" x14ac:dyDescent="0.2">
      <c r="A52" s="38" t="s">
        <v>182</v>
      </c>
      <c r="B52" s="120">
        <f t="shared" si="9"/>
        <v>-5.6843418860808015E-14</v>
      </c>
      <c r="C52" t="str">
        <f t="shared" si="10"/>
        <v>PASS</v>
      </c>
      <c r="I52"/>
      <c r="J52"/>
      <c r="K52"/>
      <c r="O52"/>
      <c r="P52"/>
      <c r="Q52"/>
      <c r="R52"/>
    </row>
    <row r="53" spans="1:44" x14ac:dyDescent="0.2">
      <c r="A53" s="38" t="s">
        <v>90</v>
      </c>
      <c r="B53" s="120">
        <f t="shared" si="9"/>
        <v>0</v>
      </c>
      <c r="C53" t="str">
        <f t="shared" si="10"/>
        <v>PASS</v>
      </c>
      <c r="I53"/>
      <c r="J53"/>
      <c r="K53"/>
      <c r="O53"/>
      <c r="P53"/>
      <c r="Q53"/>
      <c r="R53"/>
    </row>
    <row r="54" spans="1:44" x14ac:dyDescent="0.2">
      <c r="A54" s="38" t="s">
        <v>187</v>
      </c>
      <c r="B54" s="120">
        <f t="shared" si="9"/>
        <v>-2.4868995751603507E-14</v>
      </c>
      <c r="C54" t="str">
        <f t="shared" si="10"/>
        <v>PASS</v>
      </c>
      <c r="I54"/>
      <c r="J54"/>
      <c r="K54"/>
      <c r="O54"/>
      <c r="P54"/>
      <c r="Q54"/>
      <c r="R54"/>
    </row>
    <row r="55" spans="1:44" x14ac:dyDescent="0.2">
      <c r="A55" s="38" t="s">
        <v>188</v>
      </c>
      <c r="B55" s="120">
        <f t="shared" si="9"/>
        <v>0</v>
      </c>
      <c r="C55" t="str">
        <f t="shared" si="10"/>
        <v>PASS</v>
      </c>
      <c r="I55"/>
      <c r="J55"/>
      <c r="K55"/>
      <c r="O55"/>
      <c r="P55"/>
      <c r="Q55"/>
      <c r="R55"/>
    </row>
    <row r="56" spans="1:44" x14ac:dyDescent="0.2">
      <c r="A56" s="38" t="s">
        <v>192</v>
      </c>
      <c r="B56" s="120">
        <f t="shared" si="9"/>
        <v>-4.9737991503207013E-14</v>
      </c>
      <c r="C56" t="str">
        <f t="shared" si="10"/>
        <v>PASS</v>
      </c>
      <c r="I56"/>
      <c r="J56"/>
      <c r="K56"/>
      <c r="O56"/>
      <c r="P56"/>
      <c r="Q56"/>
      <c r="R56"/>
    </row>
    <row r="57" spans="1:44" x14ac:dyDescent="0.2">
      <c r="A57" s="38" t="s">
        <v>198</v>
      </c>
      <c r="B57" s="120">
        <f t="shared" si="9"/>
        <v>-9.9475983006414026E-14</v>
      </c>
      <c r="C57" t="str">
        <f t="shared" si="10"/>
        <v>PASS</v>
      </c>
      <c r="I57"/>
      <c r="J57"/>
      <c r="K57"/>
      <c r="O57"/>
      <c r="P57"/>
      <c r="Q57"/>
      <c r="R57"/>
    </row>
    <row r="58" spans="1:44" x14ac:dyDescent="0.2">
      <c r="A58" s="38" t="s">
        <v>203</v>
      </c>
      <c r="B58" s="120">
        <f t="shared" si="9"/>
        <v>-4.9737991503207013E-14</v>
      </c>
      <c r="C58" t="str">
        <f t="shared" si="10"/>
        <v>PASS</v>
      </c>
      <c r="I58"/>
      <c r="J58"/>
      <c r="K58"/>
      <c r="O58"/>
      <c r="P58"/>
      <c r="Q58"/>
      <c r="R58"/>
    </row>
    <row r="59" spans="1:44" x14ac:dyDescent="0.2">
      <c r="A59" s="38" t="s">
        <v>207</v>
      </c>
      <c r="B59" s="120">
        <f t="shared" si="9"/>
        <v>-2.4119595209981526E-14</v>
      </c>
      <c r="C59" t="str">
        <f t="shared" si="10"/>
        <v>PASS</v>
      </c>
      <c r="I59"/>
      <c r="J59"/>
      <c r="K59"/>
      <c r="O59"/>
      <c r="P59"/>
      <c r="Q59"/>
      <c r="R59"/>
    </row>
    <row r="60" spans="1:44" x14ac:dyDescent="0.2">
      <c r="A60" s="38" t="s">
        <v>119</v>
      </c>
      <c r="B60" s="120">
        <f>AVERAGE(AM18:AM19)</f>
        <v>1.1879386363489175E-14</v>
      </c>
      <c r="C60" t="str">
        <f xml:space="preserve"> IF(ABS(B60)&lt;$A$42, "PASS", "FAIL")</f>
        <v>PASS</v>
      </c>
      <c r="I60"/>
      <c r="J60"/>
      <c r="K60"/>
      <c r="O60"/>
      <c r="P60"/>
      <c r="Q60"/>
      <c r="R60"/>
    </row>
    <row r="61" spans="1:44" ht="15.75" customHeight="1" x14ac:dyDescent="0.2">
      <c r="B61" s="8"/>
      <c r="AO61" s="58"/>
      <c r="AP61" s="58"/>
      <c r="AQ61" s="58"/>
      <c r="AR61" s="58"/>
    </row>
    <row r="62" spans="1:44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AO62" s="58"/>
      <c r="AP62" s="58"/>
      <c r="AQ62" s="58"/>
      <c r="AR62" s="58"/>
    </row>
    <row r="63" spans="1:44" ht="22" x14ac:dyDescent="0.3">
      <c r="A63" s="9" t="s">
        <v>144</v>
      </c>
      <c r="I63"/>
      <c r="J63"/>
      <c r="K63"/>
      <c r="O63"/>
      <c r="P63"/>
      <c r="Q63"/>
      <c r="R63"/>
    </row>
    <row r="64" spans="1:44" ht="34" x14ac:dyDescent="0.2">
      <c r="A64" s="80" t="s">
        <v>145</v>
      </c>
      <c r="I64"/>
      <c r="J64"/>
      <c r="K64"/>
      <c r="O64"/>
      <c r="P64"/>
      <c r="Q64"/>
      <c r="R64"/>
    </row>
    <row r="65" spans="1:18" x14ac:dyDescent="0.2">
      <c r="A65" s="19">
        <f>STDEVP(AM4:AM19)</f>
        <v>3.4837523772744437E-14</v>
      </c>
      <c r="I65"/>
      <c r="J65"/>
      <c r="K65"/>
      <c r="O65"/>
      <c r="P65"/>
      <c r="Q65"/>
      <c r="R65"/>
    </row>
    <row r="66" spans="1:18" x14ac:dyDescent="0.2">
      <c r="I66"/>
      <c r="J66"/>
      <c r="K66"/>
      <c r="O66"/>
      <c r="P66"/>
      <c r="Q66"/>
      <c r="R66"/>
    </row>
    <row r="67" spans="1:18" ht="85" x14ac:dyDescent="0.2">
      <c r="A67" s="79" t="s">
        <v>215</v>
      </c>
      <c r="B67" s="79" t="s">
        <v>216</v>
      </c>
      <c r="C67" s="79" t="s">
        <v>217</v>
      </c>
      <c r="D67" s="79" t="s">
        <v>148</v>
      </c>
      <c r="E67" s="80" t="s">
        <v>149</v>
      </c>
      <c r="I67"/>
      <c r="J67"/>
      <c r="K67"/>
      <c r="O67"/>
      <c r="P67"/>
      <c r="Q67"/>
      <c r="R67"/>
    </row>
    <row r="68" spans="1:18" x14ac:dyDescent="0.2">
      <c r="A68" s="38" t="s">
        <v>157</v>
      </c>
      <c r="B68">
        <f t="shared" ref="B68:B81" si="11">AVERAGE(AH4) - $A$65*1.64</f>
        <v>0.25357142857137149</v>
      </c>
      <c r="C68">
        <f t="shared" ref="C68:C81" si="12">AVERAGE(AH4) + $A$65*1.64</f>
        <v>0.25357142857148574</v>
      </c>
      <c r="D68">
        <f t="shared" ref="D68:D81" si="13">SUM(_xlfn.BITAND(AK4&gt;=B68, AK4&lt;=C68))</f>
        <v>1</v>
      </c>
      <c r="E68">
        <f t="shared" ref="E68:E81" si="14">SUM(_xlfn.BITOR(AK4&lt;B68, AK4&gt;C68))</f>
        <v>0</v>
      </c>
      <c r="I68"/>
      <c r="J68"/>
      <c r="K68"/>
      <c r="O68"/>
      <c r="P68"/>
      <c r="Q68"/>
      <c r="R68"/>
    </row>
    <row r="69" spans="1:18" x14ac:dyDescent="0.2">
      <c r="A69" s="38" t="s">
        <v>164</v>
      </c>
      <c r="B69">
        <f t="shared" si="11"/>
        <v>3.3305999999999418</v>
      </c>
      <c r="C69">
        <f t="shared" si="12"/>
        <v>3.3306000000000564</v>
      </c>
      <c r="D69">
        <f t="shared" si="13"/>
        <v>1</v>
      </c>
      <c r="E69">
        <f t="shared" si="14"/>
        <v>0</v>
      </c>
      <c r="I69"/>
      <c r="J69"/>
      <c r="K69"/>
      <c r="O69"/>
      <c r="P69"/>
      <c r="Q69"/>
      <c r="R69"/>
    </row>
    <row r="70" spans="1:18" x14ac:dyDescent="0.2">
      <c r="A70" s="38" t="s">
        <v>169</v>
      </c>
      <c r="B70">
        <f t="shared" si="11"/>
        <v>15.277199999999937</v>
      </c>
      <c r="C70">
        <f t="shared" si="12"/>
        <v>15.27720000000005</v>
      </c>
      <c r="D70">
        <f t="shared" si="13"/>
        <v>1</v>
      </c>
      <c r="E70">
        <f t="shared" si="14"/>
        <v>0</v>
      </c>
      <c r="I70"/>
      <c r="J70"/>
      <c r="K70"/>
      <c r="O70"/>
      <c r="P70"/>
      <c r="Q70"/>
      <c r="R70"/>
    </row>
    <row r="71" spans="1:18" x14ac:dyDescent="0.2">
      <c r="A71" s="38" t="s">
        <v>173</v>
      </c>
      <c r="B71">
        <f t="shared" si="11"/>
        <v>2.1999999999999424</v>
      </c>
      <c r="C71">
        <f t="shared" si="12"/>
        <v>2.200000000000057</v>
      </c>
      <c r="D71">
        <f t="shared" si="13"/>
        <v>1</v>
      </c>
      <c r="E71">
        <f t="shared" si="14"/>
        <v>0</v>
      </c>
      <c r="I71"/>
      <c r="J71"/>
      <c r="K71"/>
      <c r="O71"/>
      <c r="P71"/>
      <c r="Q71"/>
      <c r="R71"/>
    </row>
    <row r="72" spans="1:18" x14ac:dyDescent="0.2">
      <c r="A72" s="38" t="s">
        <v>51</v>
      </c>
      <c r="B72">
        <f t="shared" si="11"/>
        <v>8.1104651162733063E-2</v>
      </c>
      <c r="C72">
        <f t="shared" si="12"/>
        <v>8.1104651162847333E-2</v>
      </c>
      <c r="D72">
        <f t="shared" si="13"/>
        <v>1</v>
      </c>
      <c r="E72">
        <f t="shared" si="14"/>
        <v>0</v>
      </c>
      <c r="I72"/>
      <c r="J72"/>
      <c r="K72"/>
      <c r="O72"/>
      <c r="P72"/>
      <c r="Q72"/>
      <c r="R72"/>
    </row>
    <row r="73" spans="1:18" x14ac:dyDescent="0.2">
      <c r="A73" s="38" t="s">
        <v>76</v>
      </c>
      <c r="B73">
        <f t="shared" si="11"/>
        <v>5.8454999999999417</v>
      </c>
      <c r="C73">
        <f t="shared" si="12"/>
        <v>5.8455000000000554</v>
      </c>
      <c r="D73">
        <f t="shared" si="13"/>
        <v>1</v>
      </c>
      <c r="E73">
        <f t="shared" si="14"/>
        <v>0</v>
      </c>
      <c r="I73"/>
      <c r="J73"/>
      <c r="K73"/>
      <c r="O73"/>
      <c r="P73"/>
      <c r="Q73"/>
      <c r="R73"/>
    </row>
    <row r="74" spans="1:18" x14ac:dyDescent="0.2">
      <c r="A74" s="38" t="s">
        <v>182</v>
      </c>
      <c r="B74">
        <f t="shared" si="11"/>
        <v>1.3312499999999543</v>
      </c>
      <c r="C74">
        <f t="shared" si="12"/>
        <v>1.3312500000000684</v>
      </c>
      <c r="D74">
        <f t="shared" si="13"/>
        <v>1</v>
      </c>
      <c r="E74">
        <f t="shared" si="14"/>
        <v>0</v>
      </c>
      <c r="I74"/>
      <c r="J74"/>
      <c r="K74"/>
      <c r="O74"/>
      <c r="P74"/>
      <c r="Q74"/>
      <c r="R74"/>
    </row>
    <row r="75" spans="1:18" x14ac:dyDescent="0.2">
      <c r="A75" s="38" t="s">
        <v>90</v>
      </c>
      <c r="B75">
        <f t="shared" si="11"/>
        <v>0.43124999999994235</v>
      </c>
      <c r="C75">
        <f t="shared" si="12"/>
        <v>0.43125000000005659</v>
      </c>
      <c r="D75">
        <f t="shared" si="13"/>
        <v>1</v>
      </c>
      <c r="E75">
        <f t="shared" si="14"/>
        <v>0</v>
      </c>
      <c r="I75"/>
      <c r="J75"/>
      <c r="K75"/>
      <c r="O75"/>
      <c r="P75"/>
      <c r="Q75"/>
      <c r="R75"/>
    </row>
    <row r="76" spans="1:18" x14ac:dyDescent="0.2">
      <c r="A76" s="38" t="s">
        <v>187</v>
      </c>
      <c r="B76">
        <f t="shared" si="11"/>
        <v>1.4999999999942547E-2</v>
      </c>
      <c r="C76">
        <f t="shared" si="12"/>
        <v>1.5000000000056813E-2</v>
      </c>
      <c r="D76">
        <f t="shared" si="13"/>
        <v>1</v>
      </c>
      <c r="E76">
        <f t="shared" si="14"/>
        <v>0</v>
      </c>
      <c r="I76"/>
      <c r="J76"/>
      <c r="K76"/>
      <c r="O76"/>
      <c r="P76"/>
      <c r="Q76"/>
      <c r="R76"/>
    </row>
    <row r="77" spans="1:18" x14ac:dyDescent="0.2">
      <c r="A77" s="38" t="s">
        <v>188</v>
      </c>
      <c r="B77">
        <f t="shared" si="11"/>
        <v>2.2571999999999419</v>
      </c>
      <c r="C77">
        <f t="shared" si="12"/>
        <v>2.2572000000000565</v>
      </c>
      <c r="D77">
        <f t="shared" si="13"/>
        <v>1</v>
      </c>
      <c r="E77">
        <f t="shared" si="14"/>
        <v>0</v>
      </c>
      <c r="I77"/>
      <c r="J77"/>
      <c r="K77"/>
      <c r="O77"/>
      <c r="P77"/>
      <c r="Q77"/>
      <c r="R77"/>
    </row>
    <row r="78" spans="1:18" x14ac:dyDescent="0.2">
      <c r="A78" s="38" t="s">
        <v>192</v>
      </c>
      <c r="B78">
        <f t="shared" si="11"/>
        <v>5.217399999999941</v>
      </c>
      <c r="C78">
        <f t="shared" si="12"/>
        <v>5.2174000000000547</v>
      </c>
      <c r="D78">
        <f t="shared" si="13"/>
        <v>1</v>
      </c>
      <c r="E78">
        <f t="shared" si="14"/>
        <v>0</v>
      </c>
      <c r="I78"/>
      <c r="J78"/>
      <c r="K78"/>
      <c r="O78"/>
      <c r="P78"/>
      <c r="Q78"/>
      <c r="R78"/>
    </row>
    <row r="79" spans="1:18" x14ac:dyDescent="0.2">
      <c r="A79" s="38" t="s">
        <v>198</v>
      </c>
      <c r="B79">
        <f t="shared" si="11"/>
        <v>6.0783069767441305</v>
      </c>
      <c r="C79">
        <f t="shared" si="12"/>
        <v>6.0783069767442441</v>
      </c>
      <c r="D79">
        <f t="shared" si="13"/>
        <v>0</v>
      </c>
      <c r="E79">
        <f t="shared" si="14"/>
        <v>1</v>
      </c>
      <c r="I79"/>
      <c r="J79"/>
      <c r="K79"/>
      <c r="O79"/>
      <c r="P79"/>
      <c r="Q79"/>
      <c r="R79"/>
    </row>
    <row r="80" spans="1:18" x14ac:dyDescent="0.2">
      <c r="A80" s="38" t="s">
        <v>203</v>
      </c>
      <c r="B80">
        <f t="shared" si="11"/>
        <v>7.5419999999999447</v>
      </c>
      <c r="C80">
        <f t="shared" si="12"/>
        <v>7.5420000000000584</v>
      </c>
      <c r="D80">
        <f t="shared" si="13"/>
        <v>1</v>
      </c>
      <c r="E80">
        <f t="shared" si="14"/>
        <v>0</v>
      </c>
      <c r="I80"/>
      <c r="J80"/>
      <c r="K80"/>
      <c r="O80"/>
      <c r="P80"/>
      <c r="Q80"/>
      <c r="R80"/>
    </row>
    <row r="81" spans="1:44" x14ac:dyDescent="0.2">
      <c r="A81" s="38" t="s">
        <v>207</v>
      </c>
      <c r="B81">
        <f t="shared" si="11"/>
        <v>0.17949655172408077</v>
      </c>
      <c r="C81">
        <f t="shared" si="12"/>
        <v>0.17949655172419501</v>
      </c>
      <c r="D81">
        <f t="shared" si="13"/>
        <v>1</v>
      </c>
      <c r="E81">
        <f t="shared" si="14"/>
        <v>0</v>
      </c>
      <c r="I81"/>
      <c r="J81"/>
      <c r="K81"/>
      <c r="O81"/>
      <c r="P81"/>
      <c r="Q81"/>
      <c r="R81"/>
    </row>
    <row r="82" spans="1:44" ht="17" thickBot="1" x14ac:dyDescent="0.25">
      <c r="A82" s="38" t="s">
        <v>119</v>
      </c>
      <c r="B82">
        <f>AVERAGE(AH18:AH19) - $A$65*1.64</f>
        <v>9.3999999999942713E-2</v>
      </c>
      <c r="C82">
        <f>AVERAGE(AH18:AH19) + $A$65*1.64</f>
        <v>9.4000000000056982E-2</v>
      </c>
      <c r="D82" cm="1">
        <f t="array" ref="D82">SUM(_xlfn.BITAND(AK18:AK19&gt;=B82, AK18:AK19&lt;=C82))</f>
        <v>0</v>
      </c>
      <c r="E82" cm="1">
        <f t="array" ref="E82">SUM(_xlfn.BITOR(AK18:AK19&lt;B82, AK18:AK19&gt;C82))</f>
        <v>2</v>
      </c>
      <c r="I82"/>
      <c r="J82"/>
      <c r="K82"/>
      <c r="O82"/>
      <c r="P82"/>
      <c r="Q82"/>
      <c r="R82"/>
    </row>
    <row r="83" spans="1:44" ht="17" thickBot="1" x14ac:dyDescent="0.25">
      <c r="C83" s="86" t="s">
        <v>143</v>
      </c>
      <c r="D83" s="87">
        <f>SUM(D68:D82)</f>
        <v>13</v>
      </c>
      <c r="E83" s="87">
        <f>SUM(E68:E82)</f>
        <v>3</v>
      </c>
      <c r="I83"/>
      <c r="J83"/>
      <c r="K83"/>
      <c r="O83"/>
      <c r="P83"/>
      <c r="Q83"/>
      <c r="R83"/>
    </row>
    <row r="84" spans="1:44" ht="17" thickBot="1" x14ac:dyDescent="0.25">
      <c r="C84" s="86" t="s">
        <v>150</v>
      </c>
      <c r="D84" s="88">
        <f>SUM(D68:D82)/SUM(D68:E82)</f>
        <v>0.8125</v>
      </c>
      <c r="E84" s="89">
        <f>SUM(E68:E82)/SUM(D68:E82)</f>
        <v>0.1875</v>
      </c>
      <c r="I84"/>
      <c r="J84"/>
      <c r="K84"/>
      <c r="O84"/>
      <c r="P84"/>
      <c r="Q84"/>
      <c r="R84"/>
    </row>
    <row r="85" spans="1:44" x14ac:dyDescent="0.2">
      <c r="I85"/>
      <c r="J85"/>
      <c r="K85"/>
      <c r="O85"/>
      <c r="P85"/>
      <c r="Q85"/>
      <c r="R85"/>
    </row>
    <row r="86" spans="1:44" ht="97" customHeight="1" x14ac:dyDescent="0.2">
      <c r="B86" s="129" t="s">
        <v>218</v>
      </c>
      <c r="C86" s="129"/>
      <c r="D86" s="129"/>
      <c r="E86" s="129"/>
      <c r="F86" s="121"/>
      <c r="G86" s="121"/>
      <c r="H86" s="121"/>
      <c r="I86" s="121"/>
      <c r="J86"/>
      <c r="K86"/>
      <c r="O86"/>
      <c r="P86"/>
      <c r="Q86"/>
      <c r="R86"/>
    </row>
    <row r="87" spans="1:44" x14ac:dyDescent="0.2">
      <c r="A87" s="58"/>
      <c r="B87" s="58"/>
      <c r="C87" s="58"/>
      <c r="D87" s="58"/>
      <c r="I87" s="58"/>
      <c r="J87" s="58"/>
      <c r="K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</row>
    <row r="88" spans="1:44" ht="21" customHeight="1" x14ac:dyDescent="0.25">
      <c r="A88" s="84" t="s">
        <v>151</v>
      </c>
      <c r="B88" s="84"/>
      <c r="C88" s="58"/>
      <c r="D88" s="58"/>
      <c r="E88" s="58"/>
      <c r="F88" s="58"/>
      <c r="G88" s="58"/>
      <c r="H88" s="58"/>
      <c r="I88" s="58"/>
      <c r="J88" s="58"/>
      <c r="K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</row>
    <row r="89" spans="1:44" ht="16" customHeight="1" x14ac:dyDescent="0.2">
      <c r="A89" s="58" t="s">
        <v>219</v>
      </c>
      <c r="B89" s="90" cm="1">
        <f t="array" ref="B89">SQRT(AVERAGE((AN4:AN19)^2))</f>
        <v>3.4837523772744437E-14</v>
      </c>
      <c r="C89" s="58"/>
      <c r="D89" s="58"/>
      <c r="E89" s="58"/>
      <c r="F89" s="58"/>
      <c r="G89" s="58"/>
      <c r="H89" s="58"/>
      <c r="I89" s="58"/>
      <c r="J89" s="58"/>
      <c r="K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</row>
    <row r="90" spans="1:44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</row>
    <row r="91" spans="1:44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</row>
    <row r="92" spans="1:44" x14ac:dyDescent="0.2">
      <c r="C92" s="58"/>
      <c r="D92" s="58"/>
      <c r="E92" s="58"/>
      <c r="F92" s="58"/>
      <c r="G92" s="58"/>
      <c r="H92" s="58"/>
      <c r="I92" s="58"/>
      <c r="J92" s="58"/>
      <c r="K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</row>
    <row r="93" spans="1:44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</row>
    <row r="94" spans="1:44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</row>
    <row r="95" spans="1:44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</row>
    <row r="96" spans="1:44" x14ac:dyDescent="0.2"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</row>
    <row r="97" spans="29:44" x14ac:dyDescent="0.2"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</row>
    <row r="98" spans="29:44" x14ac:dyDescent="0.2"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</row>
    <row r="99" spans="29:44" x14ac:dyDescent="0.2"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</row>
    <row r="100" spans="29:44" x14ac:dyDescent="0.2"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</row>
    <row r="101" spans="29:44" x14ac:dyDescent="0.2"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</row>
    <row r="102" spans="29:44" x14ac:dyDescent="0.2"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</row>
    <row r="103" spans="29:44" x14ac:dyDescent="0.2"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</row>
    <row r="104" spans="29:44" x14ac:dyDescent="0.2"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</row>
    <row r="105" spans="29:44" x14ac:dyDescent="0.2"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</row>
    <row r="106" spans="29:44" x14ac:dyDescent="0.2"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</row>
    <row r="107" spans="29:44" x14ac:dyDescent="0.2"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</row>
    <row r="108" spans="29:44" x14ac:dyDescent="0.2"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</row>
    <row r="109" spans="29:44" x14ac:dyDescent="0.2"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</row>
    <row r="110" spans="29:44" x14ac:dyDescent="0.2"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</row>
    <row r="111" spans="29:44" x14ac:dyDescent="0.2"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</row>
    <row r="112" spans="29:44" x14ac:dyDescent="0.2"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</row>
    <row r="113" spans="29:44" x14ac:dyDescent="0.2"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</row>
    <row r="114" spans="29:44" x14ac:dyDescent="0.2"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</row>
    <row r="115" spans="29:44" x14ac:dyDescent="0.2"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</row>
    <row r="116" spans="29:44" x14ac:dyDescent="0.2"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</row>
    <row r="117" spans="29:44" x14ac:dyDescent="0.2"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</row>
    <row r="118" spans="29:44" x14ac:dyDescent="0.2"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</row>
    <row r="119" spans="29:44" x14ac:dyDescent="0.2"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</row>
    <row r="120" spans="29:44" x14ac:dyDescent="0.2"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</row>
    <row r="121" spans="29:44" x14ac:dyDescent="0.2"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</row>
    <row r="122" spans="29:44" x14ac:dyDescent="0.2"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</row>
    <row r="123" spans="29:44" x14ac:dyDescent="0.2"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</row>
    <row r="124" spans="29:44" x14ac:dyDescent="0.2"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</row>
    <row r="125" spans="29:44" x14ac:dyDescent="0.2"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</row>
    <row r="126" spans="29:44" x14ac:dyDescent="0.2"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</row>
    <row r="127" spans="29:44" x14ac:dyDescent="0.2"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</row>
    <row r="128" spans="29:44" x14ac:dyDescent="0.2"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</row>
    <row r="129" spans="29:44" x14ac:dyDescent="0.2"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</row>
    <row r="130" spans="29:44" x14ac:dyDescent="0.2"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</row>
    <row r="131" spans="29:44" x14ac:dyDescent="0.2"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</row>
    <row r="132" spans="29:44" x14ac:dyDescent="0.2"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</row>
    <row r="133" spans="29:44" x14ac:dyDescent="0.2"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</row>
    <row r="134" spans="29:44" x14ac:dyDescent="0.2"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</row>
    <row r="135" spans="29:44" x14ac:dyDescent="0.2"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</row>
    <row r="136" spans="29:44" x14ac:dyDescent="0.2"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</row>
    <row r="137" spans="29:44" x14ac:dyDescent="0.2"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</row>
    <row r="138" spans="29:44" x14ac:dyDescent="0.2"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</row>
    <row r="139" spans="29:44" x14ac:dyDescent="0.2"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</row>
    <row r="140" spans="29:44" x14ac:dyDescent="0.2"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</row>
    <row r="141" spans="29:44" x14ac:dyDescent="0.2"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</row>
    <row r="142" spans="29:44" x14ac:dyDescent="0.2"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</row>
    <row r="143" spans="29:44" x14ac:dyDescent="0.2"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</row>
    <row r="144" spans="29:44" x14ac:dyDescent="0.2"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</row>
    <row r="145" spans="29:44" x14ac:dyDescent="0.2"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</row>
    <row r="146" spans="29:44" x14ac:dyDescent="0.2"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</row>
    <row r="147" spans="29:44" x14ac:dyDescent="0.2"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</row>
    <row r="148" spans="29:44" x14ac:dyDescent="0.2"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</row>
    <row r="149" spans="29:44" x14ac:dyDescent="0.2"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</row>
    <row r="150" spans="29:44" x14ac:dyDescent="0.2"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</row>
    <row r="151" spans="29:44" x14ac:dyDescent="0.2"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</row>
    <row r="152" spans="29:44" x14ac:dyDescent="0.2"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</row>
    <row r="153" spans="29:44" x14ac:dyDescent="0.2"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</row>
    <row r="154" spans="29:44" x14ac:dyDescent="0.2"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</row>
    <row r="155" spans="29:44" x14ac:dyDescent="0.2"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</row>
    <row r="156" spans="29:44" x14ac:dyDescent="0.2"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</row>
    <row r="157" spans="29:44" x14ac:dyDescent="0.2"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</row>
    <row r="158" spans="29:44" x14ac:dyDescent="0.2"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</row>
    <row r="159" spans="29:44" x14ac:dyDescent="0.2"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</row>
    <row r="160" spans="29:44" x14ac:dyDescent="0.2"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</row>
    <row r="161" spans="29:44" x14ac:dyDescent="0.2"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</row>
    <row r="162" spans="29:44" x14ac:dyDescent="0.2"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</row>
    <row r="163" spans="29:44" x14ac:dyDescent="0.2"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</row>
    <row r="164" spans="29:44" x14ac:dyDescent="0.2"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</row>
    <row r="165" spans="29:44" x14ac:dyDescent="0.2"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</row>
    <row r="166" spans="29:44" x14ac:dyDescent="0.2"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</row>
    <row r="167" spans="29:44" x14ac:dyDescent="0.2"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</row>
    <row r="168" spans="29:44" x14ac:dyDescent="0.2"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</row>
    <row r="169" spans="29:44" x14ac:dyDescent="0.2"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</row>
    <row r="170" spans="29:44" x14ac:dyDescent="0.2"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</row>
    <row r="171" spans="29:44" x14ac:dyDescent="0.2"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</row>
    <row r="172" spans="29:44" x14ac:dyDescent="0.2"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</row>
    <row r="173" spans="29:44" x14ac:dyDescent="0.2"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</row>
    <row r="174" spans="29:44" x14ac:dyDescent="0.2"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</row>
    <row r="175" spans="29:44" x14ac:dyDescent="0.2"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</row>
    <row r="176" spans="29:44" x14ac:dyDescent="0.2"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</row>
    <row r="177" spans="29:44" x14ac:dyDescent="0.2"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</row>
    <row r="178" spans="29:44" x14ac:dyDescent="0.2"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</row>
    <row r="179" spans="29:44" x14ac:dyDescent="0.2"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</row>
    <row r="180" spans="29:44" x14ac:dyDescent="0.2"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</row>
    <row r="181" spans="29:44" x14ac:dyDescent="0.2"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</row>
    <row r="182" spans="29:44" x14ac:dyDescent="0.2"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</row>
    <row r="183" spans="29:44" x14ac:dyDescent="0.2"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</row>
    <row r="184" spans="29:44" x14ac:dyDescent="0.2"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</row>
    <row r="185" spans="29:44" x14ac:dyDescent="0.2"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</row>
    <row r="186" spans="29:44" x14ac:dyDescent="0.2"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</row>
    <row r="187" spans="29:44" x14ac:dyDescent="0.2"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</row>
    <row r="188" spans="29:44" x14ac:dyDescent="0.2"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</row>
    <row r="189" spans="29:44" x14ac:dyDescent="0.2"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</row>
    <row r="190" spans="29:44" x14ac:dyDescent="0.2"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</row>
    <row r="191" spans="29:44" x14ac:dyDescent="0.2"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</row>
    <row r="192" spans="29:44" x14ac:dyDescent="0.2"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</row>
    <row r="193" spans="29:44" x14ac:dyDescent="0.2"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</row>
    <row r="194" spans="29:44" x14ac:dyDescent="0.2"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</row>
    <row r="195" spans="29:44" x14ac:dyDescent="0.2"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</row>
    <row r="196" spans="29:44" x14ac:dyDescent="0.2"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</row>
    <row r="197" spans="29:44" x14ac:dyDescent="0.2"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</row>
    <row r="198" spans="29:44" x14ac:dyDescent="0.2"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</row>
    <row r="199" spans="29:44" x14ac:dyDescent="0.2"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</row>
    <row r="200" spans="29:44" x14ac:dyDescent="0.2"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</row>
    <row r="201" spans="29:44" x14ac:dyDescent="0.2"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</row>
    <row r="202" spans="29:44" x14ac:dyDescent="0.2"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</row>
    <row r="203" spans="29:44" x14ac:dyDescent="0.2"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</row>
    <row r="204" spans="29:44" x14ac:dyDescent="0.2"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</row>
    <row r="205" spans="29:44" x14ac:dyDescent="0.2"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</row>
    <row r="206" spans="29:44" x14ac:dyDescent="0.2"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</row>
    <row r="207" spans="29:44" x14ac:dyDescent="0.2"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</row>
    <row r="208" spans="29:44" x14ac:dyDescent="0.2"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</row>
    <row r="209" spans="29:44" x14ac:dyDescent="0.2"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</row>
    <row r="210" spans="29:44" x14ac:dyDescent="0.2"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</row>
    <row r="211" spans="29:44" x14ac:dyDescent="0.2"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</row>
    <row r="212" spans="29:44" x14ac:dyDescent="0.2"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</row>
    <row r="213" spans="29:44" x14ac:dyDescent="0.2"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</row>
    <row r="214" spans="29:44" x14ac:dyDescent="0.2"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</row>
    <row r="215" spans="29:44" x14ac:dyDescent="0.2"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</row>
    <row r="216" spans="29:44" x14ac:dyDescent="0.2"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</row>
    <row r="217" spans="29:44" x14ac:dyDescent="0.2"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</row>
    <row r="218" spans="29:44" x14ac:dyDescent="0.2"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</row>
    <row r="219" spans="29:44" x14ac:dyDescent="0.2"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</row>
    <row r="220" spans="29:44" x14ac:dyDescent="0.2"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</row>
    <row r="221" spans="29:44" x14ac:dyDescent="0.2"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</row>
    <row r="222" spans="29:44" x14ac:dyDescent="0.2"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</row>
    <row r="223" spans="29:44" x14ac:dyDescent="0.2"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</row>
    <row r="224" spans="29:44" x14ac:dyDescent="0.2"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</row>
    <row r="225" spans="29:44" x14ac:dyDescent="0.2"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</row>
    <row r="226" spans="29:44" x14ac:dyDescent="0.2"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</row>
    <row r="227" spans="29:44" x14ac:dyDescent="0.2"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</row>
    <row r="228" spans="29:44" x14ac:dyDescent="0.2"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</row>
    <row r="229" spans="29:44" x14ac:dyDescent="0.2"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</row>
    <row r="230" spans="29:44" x14ac:dyDescent="0.2"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</row>
    <row r="231" spans="29:44" x14ac:dyDescent="0.2"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</row>
    <row r="232" spans="29:44" x14ac:dyDescent="0.2"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</row>
    <row r="233" spans="29:44" x14ac:dyDescent="0.2"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</row>
    <row r="234" spans="29:44" x14ac:dyDescent="0.2"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</row>
    <row r="235" spans="29:44" x14ac:dyDescent="0.2"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</row>
    <row r="236" spans="29:44" x14ac:dyDescent="0.2"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</row>
    <row r="237" spans="29:44" x14ac:dyDescent="0.2"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</row>
    <row r="238" spans="29:44" x14ac:dyDescent="0.2"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</row>
    <row r="239" spans="29:44" x14ac:dyDescent="0.2"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</row>
    <row r="240" spans="29:44" x14ac:dyDescent="0.2"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</row>
    <row r="241" spans="29:44" x14ac:dyDescent="0.2"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</row>
    <row r="242" spans="29:44" x14ac:dyDescent="0.2"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</row>
    <row r="243" spans="29:44" x14ac:dyDescent="0.2"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</row>
    <row r="244" spans="29:44" x14ac:dyDescent="0.2"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</row>
    <row r="245" spans="29:44" x14ac:dyDescent="0.2"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</row>
    <row r="246" spans="29:44" x14ac:dyDescent="0.2"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</row>
    <row r="247" spans="29:44" x14ac:dyDescent="0.2"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</row>
    <row r="248" spans="29:44" x14ac:dyDescent="0.2"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</row>
    <row r="249" spans="29:44" x14ac:dyDescent="0.2"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</row>
    <row r="250" spans="29:44" x14ac:dyDescent="0.2"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</row>
    <row r="251" spans="29:44" x14ac:dyDescent="0.2"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</row>
    <row r="252" spans="29:44" x14ac:dyDescent="0.2"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</row>
    <row r="253" spans="29:44" x14ac:dyDescent="0.2"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</row>
    <row r="254" spans="29:44" x14ac:dyDescent="0.2"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</row>
    <row r="255" spans="29:44" x14ac:dyDescent="0.2"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</row>
    <row r="256" spans="29:44" x14ac:dyDescent="0.2"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</row>
    <row r="257" spans="29:44" x14ac:dyDescent="0.2"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</row>
    <row r="258" spans="29:44" x14ac:dyDescent="0.2"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</row>
    <row r="259" spans="29:44" x14ac:dyDescent="0.2"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</row>
  </sheetData>
  <mergeCells count="1">
    <mergeCell ref="B86:E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5F8F-A858-2649-9EF6-FFC6C1EB0602}">
  <dimension ref="A2:H14"/>
  <sheetViews>
    <sheetView zoomScale="125" workbookViewId="0">
      <selection activeCell="E15" sqref="E15"/>
    </sheetView>
  </sheetViews>
  <sheetFormatPr baseColWidth="10" defaultRowHeight="16" x14ac:dyDescent="0.2"/>
  <cols>
    <col min="4" max="4" width="27.5" customWidth="1"/>
    <col min="5" max="5" width="22.6640625" customWidth="1"/>
    <col min="6" max="6" width="16.1640625" customWidth="1"/>
    <col min="8" max="8" width="19" customWidth="1"/>
  </cols>
  <sheetData>
    <row r="2" spans="1:8" x14ac:dyDescent="0.2">
      <c r="A2" t="s">
        <v>35</v>
      </c>
      <c r="B2" t="s">
        <v>235</v>
      </c>
      <c r="C2" t="s">
        <v>224</v>
      </c>
      <c r="D2" t="s">
        <v>225</v>
      </c>
      <c r="E2" t="s">
        <v>226</v>
      </c>
      <c r="F2" t="s">
        <v>227</v>
      </c>
      <c r="G2" t="s">
        <v>4</v>
      </c>
      <c r="H2" t="s">
        <v>228</v>
      </c>
    </row>
    <row r="3" spans="1:8" x14ac:dyDescent="0.2">
      <c r="A3" t="s">
        <v>230</v>
      </c>
      <c r="B3">
        <f>110/117 * 91000 * 0.2</f>
        <v>17111.111111111109</v>
      </c>
      <c r="C3">
        <v>110</v>
      </c>
      <c r="D3">
        <f>4.20750878</f>
        <v>4.2075087800000004</v>
      </c>
      <c r="E3">
        <v>40.001069999999999</v>
      </c>
      <c r="F3">
        <v>0.23394320927168599</v>
      </c>
      <c r="G3">
        <f>E3-D3</f>
        <v>35.793561220000001</v>
      </c>
      <c r="H3">
        <f>(B3^2)/(C3*(C3-1))*G3^2</f>
        <v>31285785.224715352</v>
      </c>
    </row>
    <row r="4" spans="1:8" x14ac:dyDescent="0.2">
      <c r="A4" t="s">
        <v>229</v>
      </c>
      <c r="B4">
        <f>7/117 * 91000 * 0.2</f>
        <v>1088.8888888888889</v>
      </c>
      <c r="C4">
        <v>7</v>
      </c>
      <c r="D4">
        <f t="shared" ref="D4" si="0">4.20750878</f>
        <v>4.2075087800000004</v>
      </c>
      <c r="E4">
        <v>33.741840000000003</v>
      </c>
      <c r="F4">
        <v>4.1568867613368497E-2</v>
      </c>
      <c r="G4">
        <f t="shared" ref="G4" si="1">E4-D4</f>
        <v>29.534331220000002</v>
      </c>
      <c r="H4">
        <f t="shared" ref="H4" si="2">(B4^2)/(C4*(C4-1))*G4^2</f>
        <v>24624766.680670351</v>
      </c>
    </row>
    <row r="9" spans="1:8" x14ac:dyDescent="0.2">
      <c r="A9" s="3" t="s">
        <v>234</v>
      </c>
      <c r="B9" s="3">
        <f>SUM(B3:B8)</f>
        <v>18200</v>
      </c>
      <c r="C9" s="3">
        <f>SUM(C3:C8)</f>
        <v>117</v>
      </c>
      <c r="D9" s="3"/>
      <c r="E9" s="3"/>
      <c r="F9" s="3"/>
      <c r="G9" s="3"/>
      <c r="H9" s="3">
        <f>SUM(H3:H8)</f>
        <v>55910551.905385703</v>
      </c>
    </row>
    <row r="11" spans="1:8" x14ac:dyDescent="0.2">
      <c r="D11" s="122" t="s">
        <v>231</v>
      </c>
      <c r="E11" s="22"/>
    </row>
    <row r="12" spans="1:8" x14ac:dyDescent="0.2">
      <c r="D12" s="22" t="s">
        <v>232</v>
      </c>
      <c r="E12" s="22">
        <f>H9/(B9^2)</f>
        <v>0.16879166738734966</v>
      </c>
    </row>
    <row r="13" spans="1:8" x14ac:dyDescent="0.2">
      <c r="D13" s="22" t="s">
        <v>236</v>
      </c>
      <c r="E13" s="22">
        <f>'Baseline Model Error'!B80^2 + 'Project Model Error'!B89</f>
        <v>0.17414834807849217</v>
      </c>
    </row>
    <row r="14" spans="1:8" x14ac:dyDescent="0.2">
      <c r="D14" s="22" t="s">
        <v>233</v>
      </c>
      <c r="E14" s="22">
        <f>SUM(E12:E13)</f>
        <v>0.34294001546584185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 ERs</vt:lpstr>
      <vt:lpstr>Baseline Model Error</vt:lpstr>
      <vt:lpstr>Project Model Error</vt:lpstr>
      <vt:lpstr>Sampling &amp; Combined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2025-09-18T14:51:48Z</dcterms:created>
  <dcterms:modified xsi:type="dcterms:W3CDTF">2025-11-21T05:36:32Z</dcterms:modified>
</cp:coreProperties>
</file>